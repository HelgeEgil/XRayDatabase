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20" windowWidth="16740" windowHeight="11430" tabRatio="825" activeTab="6"/>
  </bookViews>
  <sheets>
    <sheet name="Info" sheetId="13" r:id="rId1"/>
    <sheet name="Bildekvalitet" sheetId="2" r:id="rId2"/>
    <sheet name="Røntgenrør" sheetId="3" r:id="rId3"/>
    <sheet name="Gjennomlysning" sheetId="8" r:id="rId4"/>
    <sheet name="AEK" sheetId="12" r:id="rId5"/>
    <sheet name="DAP" sheetId="10" r:id="rId6"/>
    <sheet name="Spredt stråling" sheetId="14" r:id="rId7"/>
    <sheet name="Rådata-røntgenrør" sheetId="5" r:id="rId8"/>
    <sheet name="Rådata-gjennomlysning" sheetId="6" r:id="rId9"/>
    <sheet name="DAP kalibreringsbevis" sheetId="11" r:id="rId10"/>
    <sheet name="SQL" sheetId="9" r:id="rId11"/>
  </sheets>
  <definedNames>
    <definedName name="hvlint">'DAP kalibreringsbevis'!$R$3:$T$636</definedName>
    <definedName name="kvint">'DAP kalibreringsbevis'!$N$3:$Q$113</definedName>
    <definedName name="PTWLUT">Bildekvalitet!$B$32:$D$51</definedName>
    <definedName name="TOR18FG">Bildekvalitet!$J$32:$L$51</definedName>
    <definedName name="TORCDR">Bildekvalitet!$F$32:$H$51</definedName>
  </definedNames>
  <calcPr calcId="145621"/>
</workbook>
</file>

<file path=xl/calcChain.xml><?xml version="1.0" encoding="utf-8"?>
<calcChain xmlns="http://schemas.openxmlformats.org/spreadsheetml/2006/main">
  <c r="E46" i="14" l="1"/>
  <c r="E45" i="14"/>
  <c r="E44" i="14"/>
  <c r="E43" i="14"/>
  <c r="E42" i="14"/>
  <c r="E41" i="14"/>
  <c r="E40" i="14"/>
  <c r="E39" i="14"/>
  <c r="E38" i="14"/>
  <c r="E37" i="14"/>
  <c r="E36" i="14"/>
  <c r="E35" i="14"/>
  <c r="E34" i="14"/>
  <c r="E33" i="14"/>
  <c r="E32" i="14"/>
  <c r="E31" i="14"/>
  <c r="E30" i="14"/>
  <c r="B847" i="9" l="1"/>
  <c r="B26" i="3" l="1"/>
  <c r="B27" i="3"/>
  <c r="B28" i="3"/>
  <c r="B29" i="3"/>
  <c r="B30" i="3"/>
  <c r="B31" i="3"/>
  <c r="B32" i="3"/>
  <c r="B33" i="3"/>
  <c r="B34" i="3"/>
  <c r="C34" i="12"/>
  <c r="C10" i="12"/>
  <c r="P15" i="12"/>
  <c r="N13" i="12"/>
  <c r="P6" i="12"/>
  <c r="B845" i="9" s="1"/>
  <c r="N4" i="12"/>
  <c r="I4" i="12"/>
  <c r="S11" i="3" l="1"/>
  <c r="T11" i="3"/>
  <c r="U11" i="3"/>
  <c r="V11" i="3"/>
  <c r="S12" i="3"/>
  <c r="T12" i="3"/>
  <c r="U12" i="3"/>
  <c r="V12" i="3"/>
  <c r="S13" i="3"/>
  <c r="T13" i="3"/>
  <c r="U13" i="3"/>
  <c r="V13" i="3"/>
  <c r="S14" i="3"/>
  <c r="T14" i="3"/>
  <c r="U14" i="3"/>
  <c r="V14" i="3"/>
  <c r="S15" i="3"/>
  <c r="T15" i="3"/>
  <c r="U15" i="3"/>
  <c r="V15" i="3"/>
  <c r="S16" i="3"/>
  <c r="T16" i="3"/>
  <c r="U16" i="3"/>
  <c r="V16" i="3"/>
  <c r="S17" i="3"/>
  <c r="T17" i="3"/>
  <c r="U17" i="3"/>
  <c r="V17" i="3"/>
  <c r="S18" i="3"/>
  <c r="T18" i="3"/>
  <c r="U18" i="3"/>
  <c r="V18" i="3"/>
  <c r="S19" i="3"/>
  <c r="T19" i="3"/>
  <c r="U19" i="3"/>
  <c r="V19" i="3"/>
  <c r="S20" i="3"/>
  <c r="T20" i="3"/>
  <c r="U20" i="3"/>
  <c r="V20" i="3"/>
  <c r="S21" i="3"/>
  <c r="T21" i="3"/>
  <c r="U21" i="3"/>
  <c r="V21" i="3"/>
  <c r="S22" i="3"/>
  <c r="T22" i="3"/>
  <c r="U22" i="3"/>
  <c r="V22" i="3"/>
  <c r="S23" i="3"/>
  <c r="T23" i="3"/>
  <c r="U23" i="3"/>
  <c r="V23" i="3"/>
  <c r="S24" i="3"/>
  <c r="T24" i="3"/>
  <c r="U24" i="3"/>
  <c r="V24" i="3"/>
  <c r="S25" i="3"/>
  <c r="T25" i="3"/>
  <c r="U25" i="3"/>
  <c r="V25" i="3"/>
  <c r="S26" i="3"/>
  <c r="T26" i="3"/>
  <c r="U26" i="3"/>
  <c r="V26" i="3"/>
  <c r="S27" i="3"/>
  <c r="T27" i="3"/>
  <c r="U27" i="3"/>
  <c r="V27" i="3"/>
  <c r="S28" i="3"/>
  <c r="T28" i="3"/>
  <c r="U28" i="3"/>
  <c r="V28" i="3"/>
  <c r="S29" i="3"/>
  <c r="T29" i="3"/>
  <c r="U29" i="3"/>
  <c r="V29" i="3"/>
  <c r="S30" i="3"/>
  <c r="T30" i="3"/>
  <c r="U30" i="3"/>
  <c r="V30" i="3"/>
  <c r="S31" i="3"/>
  <c r="T31" i="3"/>
  <c r="U31" i="3"/>
  <c r="V31" i="3"/>
  <c r="S32" i="3"/>
  <c r="T32" i="3"/>
  <c r="U32" i="3"/>
  <c r="V32" i="3"/>
  <c r="S33" i="3"/>
  <c r="T33" i="3"/>
  <c r="U33" i="3"/>
  <c r="V33" i="3"/>
  <c r="S34" i="3"/>
  <c r="T34" i="3"/>
  <c r="U34" i="3"/>
  <c r="V34" i="3"/>
  <c r="V10" i="3"/>
  <c r="U10" i="3"/>
  <c r="T10" i="3"/>
  <c r="S10" i="3"/>
  <c r="F11" i="3"/>
  <c r="G11" i="3"/>
  <c r="H11" i="3"/>
  <c r="I11" i="3"/>
  <c r="F12" i="3"/>
  <c r="G12" i="3"/>
  <c r="H12" i="3"/>
  <c r="I12" i="3"/>
  <c r="F13" i="3"/>
  <c r="G13" i="3"/>
  <c r="H13" i="3"/>
  <c r="I13" i="3"/>
  <c r="F14" i="3"/>
  <c r="G14" i="3"/>
  <c r="H14" i="3"/>
  <c r="I14" i="3"/>
  <c r="F15" i="3"/>
  <c r="G15" i="3"/>
  <c r="H15" i="3"/>
  <c r="I15" i="3"/>
  <c r="F16" i="3"/>
  <c r="G16" i="3"/>
  <c r="H16" i="3"/>
  <c r="I16" i="3"/>
  <c r="F17" i="3"/>
  <c r="G17" i="3"/>
  <c r="H17" i="3"/>
  <c r="I17" i="3"/>
  <c r="F18" i="3"/>
  <c r="G18" i="3"/>
  <c r="H18" i="3"/>
  <c r="I18" i="3"/>
  <c r="F19" i="3"/>
  <c r="G19" i="3"/>
  <c r="H19" i="3"/>
  <c r="I19" i="3"/>
  <c r="F20" i="3"/>
  <c r="G20" i="3"/>
  <c r="H20" i="3"/>
  <c r="I20" i="3"/>
  <c r="F21" i="3"/>
  <c r="G21" i="3"/>
  <c r="H21" i="3"/>
  <c r="I21" i="3"/>
  <c r="F22" i="3"/>
  <c r="G22" i="3"/>
  <c r="H22" i="3"/>
  <c r="I22" i="3"/>
  <c r="F23" i="3"/>
  <c r="G23" i="3"/>
  <c r="H23" i="3"/>
  <c r="I23" i="3"/>
  <c r="F24" i="3"/>
  <c r="G24" i="3"/>
  <c r="H24" i="3"/>
  <c r="I24" i="3"/>
  <c r="F25" i="3"/>
  <c r="G25" i="3"/>
  <c r="H25" i="3"/>
  <c r="I25" i="3"/>
  <c r="F26" i="3"/>
  <c r="G26" i="3"/>
  <c r="H26" i="3"/>
  <c r="I26" i="3"/>
  <c r="F27" i="3"/>
  <c r="G27" i="3"/>
  <c r="H27" i="3"/>
  <c r="I27" i="3"/>
  <c r="F28" i="3"/>
  <c r="G28" i="3"/>
  <c r="H28" i="3"/>
  <c r="I28" i="3"/>
  <c r="F29" i="3"/>
  <c r="G29" i="3"/>
  <c r="H29" i="3"/>
  <c r="I29" i="3"/>
  <c r="F30" i="3"/>
  <c r="G30" i="3"/>
  <c r="H30" i="3"/>
  <c r="I30" i="3"/>
  <c r="F31" i="3"/>
  <c r="G31" i="3"/>
  <c r="H31" i="3"/>
  <c r="I31" i="3"/>
  <c r="F32" i="3"/>
  <c r="G32" i="3"/>
  <c r="H32" i="3"/>
  <c r="I32" i="3"/>
  <c r="F33" i="3"/>
  <c r="G33" i="3"/>
  <c r="H33" i="3"/>
  <c r="I33" i="3"/>
  <c r="F34" i="3"/>
  <c r="G34" i="3"/>
  <c r="H34" i="3"/>
  <c r="I34" i="3"/>
  <c r="Y34" i="3" l="1"/>
  <c r="Y33" i="3"/>
  <c r="Y32" i="3"/>
  <c r="Y31" i="3"/>
  <c r="Y30" i="3"/>
  <c r="Y29" i="3"/>
  <c r="Y28" i="3"/>
  <c r="Y27" i="3"/>
  <c r="Y26" i="3"/>
  <c r="L34" i="3"/>
  <c r="L33" i="3"/>
  <c r="L32" i="3"/>
  <c r="L31" i="3"/>
  <c r="L30" i="3"/>
  <c r="L29" i="3"/>
  <c r="L28" i="3"/>
  <c r="L27" i="3"/>
  <c r="L26" i="3"/>
  <c r="B16" i="3"/>
  <c r="B17" i="3"/>
  <c r="B18" i="3"/>
  <c r="B19" i="3"/>
  <c r="B20" i="3"/>
  <c r="B21" i="3"/>
  <c r="B15" i="3"/>
  <c r="U10" i="10" l="1"/>
  <c r="U11" i="10"/>
  <c r="U12" i="10"/>
  <c r="U13" i="10"/>
  <c r="U9" i="10"/>
  <c r="O10" i="10"/>
  <c r="O11" i="10"/>
  <c r="O12" i="10"/>
  <c r="O13" i="10"/>
  <c r="M10" i="10"/>
  <c r="M11" i="10"/>
  <c r="M12" i="10"/>
  <c r="M13" i="10"/>
  <c r="B10" i="10"/>
  <c r="J22" i="10" s="1"/>
  <c r="I10" i="3"/>
  <c r="B9" i="10" s="1"/>
  <c r="E9" i="10" s="1"/>
  <c r="D42" i="12"/>
  <c r="D43" i="12"/>
  <c r="G43" i="12" s="1"/>
  <c r="D44" i="12"/>
  <c r="D45" i="12"/>
  <c r="G45" i="12" s="1"/>
  <c r="D46" i="12"/>
  <c r="D41" i="12"/>
  <c r="G41" i="12" s="1"/>
  <c r="D18" i="12"/>
  <c r="D19" i="12"/>
  <c r="G19" i="12" s="1"/>
  <c r="D20" i="12"/>
  <c r="D21" i="12"/>
  <c r="G21" i="12" s="1"/>
  <c r="D22" i="12"/>
  <c r="D17" i="12"/>
  <c r="G17" i="12" s="1"/>
  <c r="J23" i="10" l="1"/>
  <c r="J21" i="10"/>
  <c r="J19" i="10"/>
  <c r="J20" i="10"/>
  <c r="F10" i="10"/>
  <c r="E10" i="10"/>
  <c r="F9" i="10"/>
  <c r="B835" i="9"/>
  <c r="B785" i="9"/>
  <c r="B759" i="9"/>
  <c r="B664" i="9"/>
  <c r="B482" i="9"/>
  <c r="B542" i="9"/>
  <c r="B81" i="9"/>
  <c r="B13" i="9"/>
  <c r="O27" i="3" l="1"/>
  <c r="O28" i="3"/>
  <c r="O29" i="3"/>
  <c r="O30" i="3"/>
  <c r="O31" i="3"/>
  <c r="O32" i="3"/>
  <c r="O33" i="3"/>
  <c r="O34" i="3"/>
  <c r="O26" i="3"/>
  <c r="O16" i="3"/>
  <c r="O17" i="3"/>
  <c r="O18" i="3"/>
  <c r="O19" i="3"/>
  <c r="O20" i="3"/>
  <c r="O21" i="3"/>
  <c r="O15" i="3"/>
  <c r="B888" i="9" l="1"/>
  <c r="B887" i="9"/>
  <c r="B886" i="9"/>
  <c r="B885" i="9"/>
  <c r="B884" i="9"/>
  <c r="B883" i="9"/>
  <c r="B882" i="9"/>
  <c r="B881" i="9"/>
  <c r="B880" i="9"/>
  <c r="B879" i="9"/>
  <c r="B878" i="9"/>
  <c r="B877" i="9"/>
  <c r="B876" i="9"/>
  <c r="B875" i="9"/>
  <c r="B862" i="9"/>
  <c r="B861" i="9"/>
  <c r="B860" i="9"/>
  <c r="B859" i="9"/>
  <c r="B858" i="9"/>
  <c r="B857" i="9"/>
  <c r="B856" i="9"/>
  <c r="B855" i="9"/>
  <c r="B854" i="9"/>
  <c r="B853" i="9"/>
  <c r="B852" i="9"/>
  <c r="B851" i="9"/>
  <c r="B844" i="9"/>
  <c r="B843" i="9"/>
  <c r="B842" i="9"/>
  <c r="B841" i="9"/>
  <c r="B840" i="9"/>
  <c r="B839" i="9"/>
  <c r="B838" i="9"/>
  <c r="B837" i="9"/>
  <c r="B836" i="9"/>
  <c r="B834" i="9"/>
  <c r="B833" i="9"/>
  <c r="B832" i="9"/>
  <c r="B831" i="9"/>
  <c r="B830" i="9"/>
  <c r="B829" i="9"/>
  <c r="B828" i="9"/>
  <c r="B827" i="9"/>
  <c r="B826" i="9"/>
  <c r="B825" i="9"/>
  <c r="B824" i="9"/>
  <c r="B823" i="9"/>
  <c r="B822" i="9"/>
  <c r="B821" i="9"/>
  <c r="B808" i="9"/>
  <c r="B807" i="9"/>
  <c r="B806" i="9"/>
  <c r="B805" i="9"/>
  <c r="B804" i="9"/>
  <c r="B803" i="9"/>
  <c r="B802" i="9"/>
  <c r="B801" i="9"/>
  <c r="B800" i="9"/>
  <c r="B799" i="9"/>
  <c r="B798" i="9"/>
  <c r="B797" i="9"/>
  <c r="B794" i="9"/>
  <c r="B793" i="9"/>
  <c r="B792" i="9"/>
  <c r="B791" i="9"/>
  <c r="B790" i="9"/>
  <c r="B789" i="9"/>
  <c r="B788" i="9"/>
  <c r="B787" i="9"/>
  <c r="B786" i="9"/>
  <c r="B784" i="9"/>
  <c r="B783" i="9"/>
  <c r="B780" i="9"/>
  <c r="B779" i="9"/>
  <c r="B778" i="9"/>
  <c r="B775" i="9"/>
  <c r="B774" i="9"/>
  <c r="B773" i="9"/>
  <c r="B770" i="9"/>
  <c r="B769" i="9"/>
  <c r="B768" i="9"/>
  <c r="B765" i="9"/>
  <c r="B760" i="9"/>
  <c r="B756" i="9"/>
  <c r="B755" i="9"/>
  <c r="B754" i="9"/>
  <c r="B753" i="9"/>
  <c r="B752" i="9"/>
  <c r="B751" i="9"/>
  <c r="B750" i="9"/>
  <c r="B747" i="9"/>
  <c r="B746" i="9"/>
  <c r="B745" i="9"/>
  <c r="B744" i="9"/>
  <c r="B743" i="9"/>
  <c r="B742" i="9"/>
  <c r="B741" i="9"/>
  <c r="B738" i="9"/>
  <c r="B737" i="9"/>
  <c r="B736" i="9"/>
  <c r="B735" i="9"/>
  <c r="B734" i="9"/>
  <c r="B733" i="9"/>
  <c r="B732" i="9"/>
  <c r="B729" i="9"/>
  <c r="B728" i="9"/>
  <c r="B727" i="9"/>
  <c r="B726" i="9"/>
  <c r="B725" i="9"/>
  <c r="B724" i="9"/>
  <c r="B723" i="9"/>
  <c r="B720" i="9"/>
  <c r="B719" i="9"/>
  <c r="B718" i="9"/>
  <c r="B717" i="9"/>
  <c r="B716" i="9"/>
  <c r="B715" i="9"/>
  <c r="B714" i="9"/>
  <c r="B711" i="9"/>
  <c r="B710" i="9"/>
  <c r="B709" i="9"/>
  <c r="B708" i="9"/>
  <c r="B707" i="9"/>
  <c r="B706" i="9"/>
  <c r="B705" i="9"/>
  <c r="B702" i="9"/>
  <c r="B701" i="9"/>
  <c r="B700" i="9"/>
  <c r="B699" i="9"/>
  <c r="B698" i="9"/>
  <c r="B697" i="9"/>
  <c r="B696" i="9"/>
  <c r="B693" i="9"/>
  <c r="B692" i="9"/>
  <c r="B691" i="9"/>
  <c r="B690" i="9"/>
  <c r="B689" i="9"/>
  <c r="B688" i="9"/>
  <c r="B687" i="9"/>
  <c r="B684" i="9"/>
  <c r="B683" i="9"/>
  <c r="B682" i="9"/>
  <c r="B681" i="9"/>
  <c r="B680" i="9"/>
  <c r="B679" i="9"/>
  <c r="B678" i="9"/>
  <c r="B675" i="9"/>
  <c r="B674" i="9"/>
  <c r="B673" i="9"/>
  <c r="B672" i="9"/>
  <c r="B671" i="9"/>
  <c r="B670" i="9"/>
  <c r="B669" i="9"/>
  <c r="B668" i="9"/>
  <c r="B667" i="9"/>
  <c r="B666" i="9"/>
  <c r="B665" i="9"/>
  <c r="B661" i="9"/>
  <c r="B660" i="9"/>
  <c r="B659" i="9"/>
  <c r="B658" i="9"/>
  <c r="B657" i="9"/>
  <c r="B656" i="9"/>
  <c r="B655" i="9"/>
  <c r="B652" i="9"/>
  <c r="B651" i="9"/>
  <c r="B650" i="9"/>
  <c r="B649" i="9"/>
  <c r="B648" i="9"/>
  <c r="B647" i="9"/>
  <c r="B646" i="9"/>
  <c r="B643" i="9"/>
  <c r="B642" i="9"/>
  <c r="B641" i="9"/>
  <c r="B640" i="9"/>
  <c r="B639" i="9"/>
  <c r="B638" i="9"/>
  <c r="B637" i="9"/>
  <c r="B634" i="9"/>
  <c r="B633" i="9"/>
  <c r="B632" i="9"/>
  <c r="B631" i="9"/>
  <c r="B630" i="9"/>
  <c r="B629" i="9"/>
  <c r="B628" i="9"/>
  <c r="B625" i="9"/>
  <c r="B624" i="9"/>
  <c r="B623" i="9"/>
  <c r="B622" i="9"/>
  <c r="B621" i="9"/>
  <c r="B620" i="9"/>
  <c r="B619" i="9"/>
  <c r="B616" i="9"/>
  <c r="B615" i="9"/>
  <c r="B614" i="9"/>
  <c r="B613" i="9"/>
  <c r="B612" i="9"/>
  <c r="B611" i="9"/>
  <c r="B610" i="9"/>
  <c r="B607" i="9"/>
  <c r="B606" i="9"/>
  <c r="B605" i="9"/>
  <c r="B604" i="9"/>
  <c r="B603" i="9"/>
  <c r="B602" i="9"/>
  <c r="B601" i="9"/>
  <c r="B598" i="9"/>
  <c r="B597" i="9"/>
  <c r="B596" i="9"/>
  <c r="B595" i="9"/>
  <c r="B594" i="9"/>
  <c r="B593" i="9"/>
  <c r="B592" i="9"/>
  <c r="B589" i="9"/>
  <c r="B588" i="9"/>
  <c r="B587" i="9"/>
  <c r="B586" i="9"/>
  <c r="B585" i="9"/>
  <c r="B584" i="9"/>
  <c r="B583" i="9"/>
  <c r="B580" i="9"/>
  <c r="B579" i="9"/>
  <c r="B578" i="9"/>
  <c r="B577" i="9"/>
  <c r="B576" i="9"/>
  <c r="B575" i="9"/>
  <c r="B574" i="9"/>
  <c r="B571" i="9"/>
  <c r="B570" i="9"/>
  <c r="B569" i="9"/>
  <c r="B568" i="9"/>
  <c r="B567" i="9"/>
  <c r="B566" i="9"/>
  <c r="B565" i="9"/>
  <c r="B562" i="9"/>
  <c r="B561" i="9"/>
  <c r="B560" i="9"/>
  <c r="B559" i="9"/>
  <c r="B558" i="9"/>
  <c r="B557" i="9"/>
  <c r="B556" i="9"/>
  <c r="B553" i="9"/>
  <c r="B552" i="9"/>
  <c r="B551" i="9"/>
  <c r="B550" i="9"/>
  <c r="B549" i="9"/>
  <c r="B548" i="9"/>
  <c r="B547" i="9"/>
  <c r="B546" i="9"/>
  <c r="B545" i="9"/>
  <c r="B544" i="9"/>
  <c r="B543" i="9"/>
  <c r="B539" i="9"/>
  <c r="B536" i="9"/>
  <c r="B533" i="9"/>
  <c r="B530" i="9"/>
  <c r="B527" i="9"/>
  <c r="B524" i="9"/>
  <c r="B521" i="9"/>
  <c r="B518" i="9"/>
  <c r="B515" i="9"/>
  <c r="B500" i="9"/>
  <c r="B497" i="9"/>
  <c r="B494" i="9"/>
  <c r="B491" i="9"/>
  <c r="B488" i="9"/>
  <c r="B487" i="9"/>
  <c r="B486" i="9"/>
  <c r="B485" i="9"/>
  <c r="B484" i="9"/>
  <c r="B483" i="9"/>
  <c r="B476" i="9"/>
  <c r="B475" i="9"/>
  <c r="B474" i="9"/>
  <c r="B468" i="9"/>
  <c r="B467" i="9"/>
  <c r="B466" i="9"/>
  <c r="B460" i="9"/>
  <c r="B459" i="9"/>
  <c r="B458" i="9"/>
  <c r="B452" i="9"/>
  <c r="B451" i="9"/>
  <c r="B450" i="9"/>
  <c r="B444" i="9"/>
  <c r="B443" i="9"/>
  <c r="B442" i="9"/>
  <c r="B436" i="9"/>
  <c r="B435" i="9"/>
  <c r="B434" i="9"/>
  <c r="B428" i="9"/>
  <c r="B427" i="9"/>
  <c r="B426" i="9"/>
  <c r="B420" i="9"/>
  <c r="B419" i="9"/>
  <c r="B418" i="9"/>
  <c r="B412" i="9"/>
  <c r="B411" i="9"/>
  <c r="B410" i="9"/>
  <c r="B404" i="9"/>
  <c r="B403" i="9"/>
  <c r="B402" i="9"/>
  <c r="B396" i="9"/>
  <c r="B395" i="9"/>
  <c r="B394" i="9"/>
  <c r="B388" i="9"/>
  <c r="B387" i="9"/>
  <c r="B386" i="9"/>
  <c r="B380" i="9"/>
  <c r="B379" i="9"/>
  <c r="B378" i="9"/>
  <c r="B372" i="9"/>
  <c r="B371" i="9"/>
  <c r="B370" i="9"/>
  <c r="B364" i="9"/>
  <c r="B363" i="9"/>
  <c r="B362" i="9"/>
  <c r="B356" i="9"/>
  <c r="B355" i="9"/>
  <c r="B354" i="9"/>
  <c r="B348" i="9"/>
  <c r="B347" i="9"/>
  <c r="B346" i="9"/>
  <c r="B340" i="9"/>
  <c r="B339" i="9"/>
  <c r="B338" i="9"/>
  <c r="B332" i="9"/>
  <c r="B331" i="9"/>
  <c r="B330" i="9"/>
  <c r="B324" i="9"/>
  <c r="B323" i="9"/>
  <c r="B322" i="9"/>
  <c r="B316" i="9"/>
  <c r="B315" i="9"/>
  <c r="B314" i="9"/>
  <c r="B308" i="9"/>
  <c r="B307" i="9"/>
  <c r="B306" i="9"/>
  <c r="B300" i="9"/>
  <c r="B299" i="9"/>
  <c r="B298" i="9"/>
  <c r="B292" i="9"/>
  <c r="B291" i="9"/>
  <c r="B290" i="9"/>
  <c r="B284" i="9"/>
  <c r="B283" i="9"/>
  <c r="B282" i="9"/>
  <c r="B276" i="9"/>
  <c r="B275" i="9"/>
  <c r="B274" i="9"/>
  <c r="B268" i="9"/>
  <c r="B267" i="9"/>
  <c r="B266" i="9"/>
  <c r="B260" i="9"/>
  <c r="B259" i="9"/>
  <c r="B258" i="9"/>
  <c r="B252" i="9"/>
  <c r="B251" i="9"/>
  <c r="B250" i="9"/>
  <c r="B244" i="9"/>
  <c r="B243" i="9"/>
  <c r="B242" i="9"/>
  <c r="B236" i="9"/>
  <c r="B235" i="9"/>
  <c r="B234" i="9"/>
  <c r="B228" i="9"/>
  <c r="B227" i="9"/>
  <c r="B226" i="9"/>
  <c r="B220" i="9"/>
  <c r="B219" i="9"/>
  <c r="B218" i="9"/>
  <c r="B212" i="9"/>
  <c r="B211" i="9"/>
  <c r="B210" i="9"/>
  <c r="B204" i="9"/>
  <c r="B203" i="9"/>
  <c r="B202" i="9"/>
  <c r="B196" i="9"/>
  <c r="B195" i="9"/>
  <c r="B194" i="9"/>
  <c r="B188" i="9"/>
  <c r="B187" i="9"/>
  <c r="B186" i="9"/>
  <c r="B180" i="9"/>
  <c r="B179" i="9"/>
  <c r="B178" i="9"/>
  <c r="B172" i="9"/>
  <c r="B171" i="9"/>
  <c r="B170" i="9"/>
  <c r="B164" i="9"/>
  <c r="B163" i="9"/>
  <c r="B162" i="9"/>
  <c r="B156" i="9"/>
  <c r="B155" i="9"/>
  <c r="B154" i="9"/>
  <c r="B148" i="9"/>
  <c r="B147" i="9"/>
  <c r="B146" i="9"/>
  <c r="B140" i="9"/>
  <c r="B139" i="9"/>
  <c r="B138" i="9"/>
  <c r="B132" i="9"/>
  <c r="B131" i="9"/>
  <c r="B130" i="9"/>
  <c r="B124" i="9"/>
  <c r="B123" i="9"/>
  <c r="B122" i="9"/>
  <c r="B116" i="9"/>
  <c r="B115" i="9"/>
  <c r="B114" i="9"/>
  <c r="B108" i="9"/>
  <c r="B107" i="9"/>
  <c r="B106" i="9"/>
  <c r="B100" i="9"/>
  <c r="B99" i="9"/>
  <c r="B98" i="9"/>
  <c r="B92" i="9"/>
  <c r="B91" i="9"/>
  <c r="B90" i="9"/>
  <c r="B84" i="9"/>
  <c r="B83" i="9"/>
  <c r="B82" i="9"/>
  <c r="B80" i="9"/>
  <c r="B79" i="9"/>
  <c r="B78" i="9"/>
  <c r="B77" i="9"/>
  <c r="B68" i="9"/>
  <c r="B67" i="9"/>
  <c r="B66" i="9"/>
  <c r="B57" i="9"/>
  <c r="B56" i="9"/>
  <c r="B55" i="9"/>
  <c r="B46" i="9"/>
  <c r="B45" i="9"/>
  <c r="B44" i="9"/>
  <c r="B35" i="9"/>
  <c r="B34" i="9"/>
  <c r="B33" i="9"/>
  <c r="B24" i="9"/>
  <c r="B23" i="9"/>
  <c r="B22" i="9"/>
  <c r="B12" i="9"/>
  <c r="B11" i="9"/>
  <c r="B10" i="9"/>
  <c r="B9" i="9"/>
  <c r="B8" i="9"/>
  <c r="B7" i="9"/>
  <c r="B6" i="9"/>
  <c r="B5" i="9"/>
  <c r="B4" i="9"/>
  <c r="B3" i="9"/>
  <c r="B2" i="9"/>
  <c r="B1" i="9"/>
  <c r="Q15" i="12" l="1"/>
  <c r="B848" i="9" s="1"/>
  <c r="B95" i="9"/>
  <c r="B96" i="9"/>
  <c r="B97" i="9"/>
  <c r="B103" i="9"/>
  <c r="B104" i="9"/>
  <c r="B105" i="9"/>
  <c r="B111" i="9"/>
  <c r="B112" i="9"/>
  <c r="B113" i="9"/>
  <c r="B119" i="9"/>
  <c r="B120" i="9"/>
  <c r="B121" i="9"/>
  <c r="B127" i="9"/>
  <c r="B128" i="9"/>
  <c r="B129" i="9"/>
  <c r="B135" i="9"/>
  <c r="B136" i="9"/>
  <c r="B137" i="9"/>
  <c r="B143" i="9"/>
  <c r="B144" i="9"/>
  <c r="B145" i="9"/>
  <c r="B151" i="9"/>
  <c r="B152" i="9"/>
  <c r="B153" i="9"/>
  <c r="B159" i="9"/>
  <c r="B160" i="9"/>
  <c r="B161" i="9"/>
  <c r="B167" i="9"/>
  <c r="B168" i="9"/>
  <c r="B169" i="9"/>
  <c r="B175" i="9"/>
  <c r="B176" i="9"/>
  <c r="B177" i="9"/>
  <c r="B183" i="9"/>
  <c r="B184" i="9"/>
  <c r="B185" i="9"/>
  <c r="B191" i="9"/>
  <c r="B192" i="9"/>
  <c r="B193" i="9"/>
  <c r="B199" i="9"/>
  <c r="B200" i="9"/>
  <c r="B201" i="9"/>
  <c r="B207" i="9"/>
  <c r="B208" i="9"/>
  <c r="B209" i="9"/>
  <c r="B215" i="9"/>
  <c r="B216" i="9"/>
  <c r="B217" i="9"/>
  <c r="B223" i="9"/>
  <c r="B224" i="9"/>
  <c r="B225" i="9"/>
  <c r="B231" i="9"/>
  <c r="B232" i="9"/>
  <c r="B233" i="9"/>
  <c r="B239" i="9"/>
  <c r="B240" i="9"/>
  <c r="B241" i="9"/>
  <c r="B247" i="9"/>
  <c r="B248" i="9"/>
  <c r="B249" i="9"/>
  <c r="B255" i="9"/>
  <c r="B256" i="9"/>
  <c r="B257" i="9"/>
  <c r="B263" i="9"/>
  <c r="B264" i="9"/>
  <c r="B265" i="9"/>
  <c r="B271" i="9"/>
  <c r="B272" i="9"/>
  <c r="B273" i="9"/>
  <c r="B279" i="9"/>
  <c r="B280" i="9"/>
  <c r="B281" i="9"/>
  <c r="B89" i="9"/>
  <c r="B88" i="9"/>
  <c r="B87" i="9"/>
  <c r="B278" i="9" l="1"/>
  <c r="X34" i="3"/>
  <c r="B270" i="9"/>
  <c r="X33" i="3"/>
  <c r="B262" i="9"/>
  <c r="X32" i="3"/>
  <c r="B254" i="9"/>
  <c r="X31" i="3"/>
  <c r="B246" i="9"/>
  <c r="X30" i="3"/>
  <c r="B238" i="9"/>
  <c r="X29" i="3"/>
  <c r="B230" i="9"/>
  <c r="X28" i="3"/>
  <c r="B222" i="9"/>
  <c r="X27" i="3"/>
  <c r="B214" i="9"/>
  <c r="X26" i="3"/>
  <c r="B206" i="9"/>
  <c r="X25" i="3"/>
  <c r="B198" i="9"/>
  <c r="X24" i="3"/>
  <c r="B190" i="9"/>
  <c r="X23" i="3"/>
  <c r="B182" i="9"/>
  <c r="X22" i="3"/>
  <c r="B174" i="9"/>
  <c r="X21" i="3"/>
  <c r="B166" i="9"/>
  <c r="X20" i="3"/>
  <c r="B158" i="9"/>
  <c r="X19" i="3"/>
  <c r="B150" i="9"/>
  <c r="X18" i="3"/>
  <c r="B142" i="9"/>
  <c r="X17" i="3"/>
  <c r="B134" i="9"/>
  <c r="X16" i="3"/>
  <c r="B126" i="9"/>
  <c r="X15" i="3"/>
  <c r="B118" i="9"/>
  <c r="X14" i="3"/>
  <c r="B110" i="9"/>
  <c r="X13" i="3"/>
  <c r="B102" i="9"/>
  <c r="X12" i="3"/>
  <c r="B94" i="9"/>
  <c r="X11" i="3"/>
  <c r="B86" i="9"/>
  <c r="X10" i="3"/>
  <c r="Q6" i="12"/>
  <c r="B846" i="9" s="1"/>
  <c r="D11" i="12" l="1"/>
  <c r="B809" i="9" s="1"/>
  <c r="S15" i="8"/>
  <c r="B554" i="9" s="1"/>
  <c r="S16" i="8"/>
  <c r="B563" i="9" s="1"/>
  <c r="S17" i="8"/>
  <c r="B572" i="9" s="1"/>
  <c r="S18" i="8"/>
  <c r="B581" i="9" s="1"/>
  <c r="S19" i="8"/>
  <c r="B590" i="9" s="1"/>
  <c r="S20" i="8"/>
  <c r="B599" i="9" s="1"/>
  <c r="S21" i="8"/>
  <c r="B608" i="9" s="1"/>
  <c r="S22" i="8"/>
  <c r="B617" i="9" s="1"/>
  <c r="S42" i="8"/>
  <c r="B676" i="9" s="1"/>
  <c r="T42" i="8"/>
  <c r="B677" i="9" s="1"/>
  <c r="S43" i="8"/>
  <c r="B685" i="9" s="1"/>
  <c r="T43" i="8"/>
  <c r="B686" i="9" s="1"/>
  <c r="S44" i="8"/>
  <c r="B694" i="9" s="1"/>
  <c r="T44" i="8"/>
  <c r="B695" i="9" s="1"/>
  <c r="S45" i="8"/>
  <c r="B703" i="9" s="1"/>
  <c r="T45" i="8"/>
  <c r="B704" i="9" s="1"/>
  <c r="S46" i="8"/>
  <c r="B712" i="9" s="1"/>
  <c r="T46" i="8"/>
  <c r="B713" i="9" s="1"/>
  <c r="S47" i="8"/>
  <c r="B721" i="9" s="1"/>
  <c r="T47" i="8"/>
  <c r="B722" i="9" s="1"/>
  <c r="S48" i="8"/>
  <c r="B730" i="9" s="1"/>
  <c r="T48" i="8"/>
  <c r="B731" i="9" s="1"/>
  <c r="I20" i="10"/>
  <c r="I21" i="10"/>
  <c r="I22" i="10"/>
  <c r="I23" i="10"/>
  <c r="N10" i="10"/>
  <c r="B767" i="9" s="1"/>
  <c r="N11" i="10"/>
  <c r="B772" i="9" s="1"/>
  <c r="N12" i="10"/>
  <c r="B777" i="9" s="1"/>
  <c r="N13" i="10"/>
  <c r="B782" i="9" s="1"/>
  <c r="L10" i="10"/>
  <c r="L11" i="10"/>
  <c r="L12" i="10"/>
  <c r="L13" i="10"/>
  <c r="S10" i="10"/>
  <c r="S11" i="10"/>
  <c r="S12" i="10"/>
  <c r="S13" i="10"/>
  <c r="S9" i="10"/>
  <c r="J10" i="10"/>
  <c r="J11" i="10"/>
  <c r="J12" i="10"/>
  <c r="J13" i="10"/>
  <c r="J9" i="10"/>
  <c r="L9" i="10" s="1"/>
  <c r="D9" i="10"/>
  <c r="E21" i="8"/>
  <c r="B506" i="9" s="1"/>
  <c r="E22" i="8"/>
  <c r="B509" i="9" s="1"/>
  <c r="E23" i="8"/>
  <c r="B512" i="9" s="1"/>
  <c r="E20" i="8"/>
  <c r="B503" i="9" s="1"/>
  <c r="D36" i="12"/>
  <c r="B864" i="9" s="1"/>
  <c r="D37" i="12"/>
  <c r="G37" i="12" s="1"/>
  <c r="D38" i="12"/>
  <c r="B866" i="9" s="1"/>
  <c r="D39" i="12"/>
  <c r="G39" i="12" s="1"/>
  <c r="D40" i="12"/>
  <c r="B868" i="9" s="1"/>
  <c r="B870" i="9"/>
  <c r="B872" i="9"/>
  <c r="B874" i="9"/>
  <c r="D35" i="12"/>
  <c r="G35" i="12" s="1"/>
  <c r="D12" i="12"/>
  <c r="D13" i="12"/>
  <c r="D14" i="12"/>
  <c r="B812" i="9" s="1"/>
  <c r="D15" i="12"/>
  <c r="D16" i="12"/>
  <c r="B814" i="9" s="1"/>
  <c r="B816" i="9"/>
  <c r="B818" i="9"/>
  <c r="B820" i="9"/>
  <c r="H20" i="10"/>
  <c r="B766" i="9" s="1"/>
  <c r="G20" i="10"/>
  <c r="G21" i="10"/>
  <c r="G22" i="10"/>
  <c r="G23" i="10"/>
  <c r="G19" i="10"/>
  <c r="H19" i="10"/>
  <c r="B761" i="9" s="1"/>
  <c r="D10" i="10"/>
  <c r="D11" i="10"/>
  <c r="D12" i="10"/>
  <c r="D13" i="10"/>
  <c r="C10" i="10"/>
  <c r="C11" i="10"/>
  <c r="C12" i="10"/>
  <c r="C13" i="10"/>
  <c r="C9" i="10"/>
  <c r="T636" i="11"/>
  <c r="S636" i="11"/>
  <c r="T466" i="11"/>
  <c r="T467" i="11"/>
  <c r="T468" i="11"/>
  <c r="T469" i="11"/>
  <c r="T470" i="11"/>
  <c r="T471" i="11"/>
  <c r="T472" i="11"/>
  <c r="T473" i="11"/>
  <c r="T474" i="11"/>
  <c r="T475" i="11"/>
  <c r="T476" i="11"/>
  <c r="T477" i="11"/>
  <c r="T478" i="11"/>
  <c r="T479" i="11"/>
  <c r="T480" i="11"/>
  <c r="T481" i="11"/>
  <c r="T482" i="11"/>
  <c r="T483" i="11"/>
  <c r="T484" i="11"/>
  <c r="T485" i="11"/>
  <c r="T486" i="11"/>
  <c r="T487" i="11"/>
  <c r="T488" i="11"/>
  <c r="T489" i="11"/>
  <c r="T490" i="11"/>
  <c r="T491" i="11"/>
  <c r="T492" i="11"/>
  <c r="T493" i="11"/>
  <c r="T494" i="11"/>
  <c r="T495" i="11"/>
  <c r="T496" i="11"/>
  <c r="T497" i="11"/>
  <c r="T498" i="11"/>
  <c r="T499" i="11"/>
  <c r="T500" i="11"/>
  <c r="T501" i="11"/>
  <c r="T502" i="11"/>
  <c r="T503" i="11"/>
  <c r="T504" i="11"/>
  <c r="T505" i="11"/>
  <c r="T506" i="11"/>
  <c r="T507" i="11"/>
  <c r="T508" i="11"/>
  <c r="T509" i="11"/>
  <c r="T510" i="11"/>
  <c r="T511" i="11"/>
  <c r="T512" i="11"/>
  <c r="T513" i="11"/>
  <c r="T514" i="11"/>
  <c r="T515" i="11"/>
  <c r="T516" i="11"/>
  <c r="T517" i="11"/>
  <c r="T518" i="11"/>
  <c r="T519" i="11"/>
  <c r="T520" i="11"/>
  <c r="T521" i="11"/>
  <c r="T522" i="11"/>
  <c r="T523" i="11"/>
  <c r="T524" i="11"/>
  <c r="T525" i="11"/>
  <c r="T526" i="11"/>
  <c r="T527" i="11"/>
  <c r="T528" i="11"/>
  <c r="T529" i="11"/>
  <c r="T530" i="11"/>
  <c r="T531" i="11"/>
  <c r="T532" i="11"/>
  <c r="T533" i="11"/>
  <c r="T534" i="11"/>
  <c r="T535" i="11"/>
  <c r="T536" i="11"/>
  <c r="T537" i="11"/>
  <c r="T538" i="11"/>
  <c r="T539" i="11"/>
  <c r="T540" i="11"/>
  <c r="T541" i="11"/>
  <c r="T542" i="11"/>
  <c r="T543" i="11"/>
  <c r="T544" i="11"/>
  <c r="T545" i="11"/>
  <c r="T546" i="11"/>
  <c r="T547" i="11"/>
  <c r="T548" i="11"/>
  <c r="T549" i="11"/>
  <c r="T550" i="11"/>
  <c r="T551" i="11"/>
  <c r="T552" i="11"/>
  <c r="T553" i="11"/>
  <c r="T554" i="11"/>
  <c r="T555" i="11"/>
  <c r="T556" i="11"/>
  <c r="T557" i="11"/>
  <c r="T558" i="11"/>
  <c r="T559" i="11"/>
  <c r="T560" i="11"/>
  <c r="T561" i="11"/>
  <c r="T562" i="11"/>
  <c r="T563" i="11"/>
  <c r="T564" i="11"/>
  <c r="T565" i="11"/>
  <c r="T566" i="11"/>
  <c r="T567" i="11"/>
  <c r="T568" i="11"/>
  <c r="T569" i="11"/>
  <c r="T570" i="11"/>
  <c r="T571" i="11"/>
  <c r="T572" i="11"/>
  <c r="T573" i="11"/>
  <c r="T574" i="11"/>
  <c r="T575" i="11"/>
  <c r="T576" i="11"/>
  <c r="T577" i="11"/>
  <c r="T578" i="11"/>
  <c r="T579" i="11"/>
  <c r="T580" i="11"/>
  <c r="T581" i="11"/>
  <c r="T582" i="11"/>
  <c r="T583" i="11"/>
  <c r="T584" i="11"/>
  <c r="T585" i="11"/>
  <c r="T586" i="11"/>
  <c r="T587" i="11"/>
  <c r="T588" i="11"/>
  <c r="T589" i="11"/>
  <c r="T590" i="11"/>
  <c r="T591" i="11"/>
  <c r="T592" i="11"/>
  <c r="T593" i="11"/>
  <c r="T594" i="11"/>
  <c r="T595" i="11"/>
  <c r="T596" i="11"/>
  <c r="T597" i="11"/>
  <c r="T598" i="11"/>
  <c r="T599" i="11"/>
  <c r="T600" i="11"/>
  <c r="T601" i="11"/>
  <c r="T602" i="11"/>
  <c r="T603" i="11"/>
  <c r="T604" i="11"/>
  <c r="T605" i="11"/>
  <c r="T606" i="11"/>
  <c r="T607" i="11"/>
  <c r="T608" i="11"/>
  <c r="T609" i="11"/>
  <c r="T610" i="11"/>
  <c r="T611" i="11"/>
  <c r="T612" i="11"/>
  <c r="T613" i="11"/>
  <c r="T614" i="11"/>
  <c r="T615" i="11"/>
  <c r="T616" i="11"/>
  <c r="T617" i="11"/>
  <c r="T618" i="11"/>
  <c r="T619" i="11"/>
  <c r="T620" i="11"/>
  <c r="T621" i="11"/>
  <c r="T622" i="11"/>
  <c r="T623" i="11"/>
  <c r="T624" i="11"/>
  <c r="T625" i="11"/>
  <c r="T626" i="11"/>
  <c r="T627" i="11"/>
  <c r="T628" i="11"/>
  <c r="T629" i="11"/>
  <c r="T630" i="11"/>
  <c r="T631" i="11"/>
  <c r="T632" i="11"/>
  <c r="T633" i="11"/>
  <c r="T634" i="11"/>
  <c r="T635" i="11"/>
  <c r="S466" i="11"/>
  <c r="S467" i="11"/>
  <c r="S468" i="11"/>
  <c r="S469" i="11"/>
  <c r="S470" i="11"/>
  <c r="S471" i="11"/>
  <c r="S472" i="11"/>
  <c r="S473" i="11"/>
  <c r="S474" i="11"/>
  <c r="S475" i="11"/>
  <c r="S476" i="11"/>
  <c r="S477" i="11"/>
  <c r="S478" i="11"/>
  <c r="S479" i="11"/>
  <c r="S480" i="11"/>
  <c r="S481" i="11"/>
  <c r="S482" i="11"/>
  <c r="S483" i="11"/>
  <c r="S484" i="11"/>
  <c r="S485" i="11"/>
  <c r="S486" i="11"/>
  <c r="S487" i="11"/>
  <c r="S488" i="11"/>
  <c r="S489" i="11"/>
  <c r="S490" i="11"/>
  <c r="S491" i="11"/>
  <c r="S492" i="11"/>
  <c r="S493" i="11"/>
  <c r="S494" i="11"/>
  <c r="S495" i="11"/>
  <c r="S496" i="11"/>
  <c r="S497" i="11"/>
  <c r="S498" i="11"/>
  <c r="S499" i="11"/>
  <c r="S500" i="11"/>
  <c r="S501" i="11"/>
  <c r="S502" i="11"/>
  <c r="S503" i="11"/>
  <c r="S504" i="11"/>
  <c r="S505" i="11"/>
  <c r="S506" i="11"/>
  <c r="S507" i="11"/>
  <c r="S508" i="11"/>
  <c r="S509" i="11"/>
  <c r="S510" i="11"/>
  <c r="S511" i="11"/>
  <c r="S512" i="11"/>
  <c r="S513" i="11"/>
  <c r="S514" i="11"/>
  <c r="S515" i="11"/>
  <c r="S516" i="11"/>
  <c r="S517" i="11"/>
  <c r="S518" i="11"/>
  <c r="S519" i="11"/>
  <c r="S520" i="11"/>
  <c r="S521" i="11"/>
  <c r="S522" i="11"/>
  <c r="S523" i="11"/>
  <c r="S524" i="11"/>
  <c r="S525" i="11"/>
  <c r="S526" i="11"/>
  <c r="S527" i="11"/>
  <c r="S528" i="11"/>
  <c r="S529" i="11"/>
  <c r="S530" i="11"/>
  <c r="S531" i="11"/>
  <c r="S532" i="11"/>
  <c r="S533" i="11"/>
  <c r="S534" i="11"/>
  <c r="S535" i="11"/>
  <c r="S536" i="11"/>
  <c r="S537" i="11"/>
  <c r="S538" i="11"/>
  <c r="S539" i="11"/>
  <c r="S540" i="11"/>
  <c r="S541" i="11"/>
  <c r="S542" i="11"/>
  <c r="S543" i="11"/>
  <c r="S544" i="11"/>
  <c r="S545" i="11"/>
  <c r="S546" i="11"/>
  <c r="S547" i="11"/>
  <c r="S548" i="11"/>
  <c r="S549" i="11"/>
  <c r="S550" i="11"/>
  <c r="S551" i="11"/>
  <c r="S552" i="11"/>
  <c r="S553" i="11"/>
  <c r="S554" i="11"/>
  <c r="S555" i="11"/>
  <c r="S556" i="11"/>
  <c r="S557" i="11"/>
  <c r="S558" i="11"/>
  <c r="S559" i="11"/>
  <c r="S560" i="11"/>
  <c r="S561" i="11"/>
  <c r="S562" i="11"/>
  <c r="S563" i="11"/>
  <c r="S564" i="11"/>
  <c r="S565" i="11"/>
  <c r="S566" i="11"/>
  <c r="S567" i="11"/>
  <c r="S568" i="11"/>
  <c r="S569" i="11"/>
  <c r="S570" i="11"/>
  <c r="S571" i="11"/>
  <c r="S572" i="11"/>
  <c r="S573" i="11"/>
  <c r="S574" i="11"/>
  <c r="S575" i="11"/>
  <c r="S576" i="11"/>
  <c r="S577" i="11"/>
  <c r="S578" i="11"/>
  <c r="S579" i="11"/>
  <c r="S580" i="11"/>
  <c r="S581" i="11"/>
  <c r="S582" i="11"/>
  <c r="S583" i="11"/>
  <c r="S584" i="11"/>
  <c r="S585" i="11"/>
  <c r="S586" i="11"/>
  <c r="S587" i="11"/>
  <c r="S588" i="11"/>
  <c r="S589" i="11"/>
  <c r="S590" i="11"/>
  <c r="S591" i="11"/>
  <c r="S592" i="11"/>
  <c r="S593" i="11"/>
  <c r="S594" i="11"/>
  <c r="S595" i="11"/>
  <c r="S596" i="11"/>
  <c r="S597" i="11"/>
  <c r="S598" i="11"/>
  <c r="S599" i="11"/>
  <c r="S600" i="11"/>
  <c r="S601" i="11"/>
  <c r="S602" i="11"/>
  <c r="S603" i="11"/>
  <c r="S604" i="11"/>
  <c r="S605" i="11"/>
  <c r="S606" i="11"/>
  <c r="S607" i="11"/>
  <c r="S608" i="11"/>
  <c r="S609" i="11"/>
  <c r="S610" i="11"/>
  <c r="S611" i="11"/>
  <c r="S612" i="11"/>
  <c r="S613" i="11"/>
  <c r="S614" i="11"/>
  <c r="S615" i="11"/>
  <c r="S616" i="11"/>
  <c r="S617" i="11"/>
  <c r="S618" i="11"/>
  <c r="S619" i="11"/>
  <c r="S620" i="11"/>
  <c r="S621" i="11"/>
  <c r="S622" i="11"/>
  <c r="S623" i="11"/>
  <c r="S624" i="11"/>
  <c r="S625" i="11"/>
  <c r="S626" i="11"/>
  <c r="S627" i="11"/>
  <c r="S628" i="11"/>
  <c r="S629" i="11"/>
  <c r="S630" i="11"/>
  <c r="S631" i="11"/>
  <c r="S632" i="11"/>
  <c r="S633" i="11"/>
  <c r="S634" i="11"/>
  <c r="S635" i="11"/>
  <c r="T375" i="11"/>
  <c r="T376" i="11"/>
  <c r="T377" i="11"/>
  <c r="T378" i="11"/>
  <c r="T379" i="11"/>
  <c r="T380" i="11"/>
  <c r="T381" i="11"/>
  <c r="T382" i="11"/>
  <c r="T383" i="11"/>
  <c r="T384" i="11"/>
  <c r="T385" i="11"/>
  <c r="T386" i="11"/>
  <c r="T387" i="11"/>
  <c r="T388" i="11"/>
  <c r="T389" i="11"/>
  <c r="T390" i="11"/>
  <c r="T391" i="11"/>
  <c r="T392" i="11"/>
  <c r="T393" i="11"/>
  <c r="T394" i="11"/>
  <c r="T395" i="11"/>
  <c r="T396" i="11"/>
  <c r="T397" i="11"/>
  <c r="T398" i="11"/>
  <c r="T399" i="11"/>
  <c r="T400" i="11"/>
  <c r="T401" i="11"/>
  <c r="T402" i="11"/>
  <c r="T403" i="11"/>
  <c r="T404" i="11"/>
  <c r="T405" i="11"/>
  <c r="T406" i="11"/>
  <c r="T407" i="11"/>
  <c r="T408" i="11"/>
  <c r="T409" i="11"/>
  <c r="T410" i="11"/>
  <c r="T411" i="11"/>
  <c r="T412" i="11"/>
  <c r="T413" i="11"/>
  <c r="T414" i="11"/>
  <c r="T415" i="11"/>
  <c r="T416" i="11"/>
  <c r="T417" i="11"/>
  <c r="T418" i="11"/>
  <c r="T419" i="11"/>
  <c r="T420" i="11"/>
  <c r="T421" i="11"/>
  <c r="T422" i="11"/>
  <c r="T423" i="11"/>
  <c r="T424" i="11"/>
  <c r="T425" i="11"/>
  <c r="T426" i="11"/>
  <c r="T427" i="11"/>
  <c r="T428" i="11"/>
  <c r="T429" i="11"/>
  <c r="T430" i="11"/>
  <c r="T431" i="11"/>
  <c r="T432" i="11"/>
  <c r="T433" i="11"/>
  <c r="T434" i="11"/>
  <c r="T435" i="11"/>
  <c r="T436" i="11"/>
  <c r="T437" i="11"/>
  <c r="T438" i="11"/>
  <c r="T439" i="11"/>
  <c r="T440" i="11"/>
  <c r="T441" i="11"/>
  <c r="T442" i="11"/>
  <c r="T443" i="11"/>
  <c r="T444" i="11"/>
  <c r="T445" i="11"/>
  <c r="T446" i="11"/>
  <c r="T447" i="11"/>
  <c r="T448" i="11"/>
  <c r="T449" i="11"/>
  <c r="T450" i="11"/>
  <c r="T451" i="11"/>
  <c r="T452" i="11"/>
  <c r="T453" i="11"/>
  <c r="T454" i="11"/>
  <c r="T455" i="11"/>
  <c r="T456" i="11"/>
  <c r="T457" i="11"/>
  <c r="T458" i="11"/>
  <c r="T459" i="11"/>
  <c r="T460" i="11"/>
  <c r="T461" i="11"/>
  <c r="T462" i="11"/>
  <c r="T463" i="11"/>
  <c r="T464" i="11"/>
  <c r="T465" i="11"/>
  <c r="T374" i="11"/>
  <c r="S374" i="11"/>
  <c r="S375" i="11"/>
  <c r="S376" i="11"/>
  <c r="S377" i="11"/>
  <c r="S378" i="11"/>
  <c r="S379" i="11"/>
  <c r="S380" i="11"/>
  <c r="S381" i="11"/>
  <c r="S382" i="11"/>
  <c r="S383" i="11"/>
  <c r="S384" i="11"/>
  <c r="S385" i="11"/>
  <c r="S386" i="11"/>
  <c r="S387" i="11"/>
  <c r="S388" i="11"/>
  <c r="S389" i="11"/>
  <c r="S390" i="11"/>
  <c r="S391" i="11"/>
  <c r="S392" i="11"/>
  <c r="S393" i="11"/>
  <c r="S394" i="11"/>
  <c r="S395" i="11"/>
  <c r="S396" i="11"/>
  <c r="S397" i="11"/>
  <c r="S398" i="11"/>
  <c r="S399" i="11"/>
  <c r="S400" i="11"/>
  <c r="S401" i="11"/>
  <c r="S402" i="11"/>
  <c r="S403" i="11"/>
  <c r="S404" i="11"/>
  <c r="S405" i="11"/>
  <c r="S406" i="11"/>
  <c r="S407" i="11"/>
  <c r="S408" i="11"/>
  <c r="S409" i="11"/>
  <c r="S410" i="11"/>
  <c r="S411" i="11"/>
  <c r="S412" i="11"/>
  <c r="S413" i="11"/>
  <c r="S414" i="11"/>
  <c r="S415" i="11"/>
  <c r="S416" i="11"/>
  <c r="S417" i="11"/>
  <c r="S418" i="11"/>
  <c r="S419" i="11"/>
  <c r="S420" i="11"/>
  <c r="S421" i="11"/>
  <c r="S422" i="11"/>
  <c r="S423" i="11"/>
  <c r="S424" i="11"/>
  <c r="S425" i="11"/>
  <c r="S426" i="11"/>
  <c r="S427" i="11"/>
  <c r="S428" i="11"/>
  <c r="S429" i="11"/>
  <c r="S430" i="11"/>
  <c r="S431" i="11"/>
  <c r="S432" i="11"/>
  <c r="S433" i="11"/>
  <c r="S434" i="11"/>
  <c r="S435" i="11"/>
  <c r="S436" i="11"/>
  <c r="S437" i="11"/>
  <c r="S438" i="11"/>
  <c r="S439" i="11"/>
  <c r="S440" i="11"/>
  <c r="S441" i="11"/>
  <c r="S442" i="11"/>
  <c r="S443" i="11"/>
  <c r="S444" i="11"/>
  <c r="S445" i="11"/>
  <c r="S446" i="11"/>
  <c r="S447" i="11"/>
  <c r="S448" i="11"/>
  <c r="S449" i="11"/>
  <c r="S450" i="11"/>
  <c r="S451" i="11"/>
  <c r="S452" i="11"/>
  <c r="S453" i="11"/>
  <c r="S454" i="11"/>
  <c r="S455" i="11"/>
  <c r="S456" i="11"/>
  <c r="S457" i="11"/>
  <c r="S458" i="11"/>
  <c r="S459" i="11"/>
  <c r="S460" i="11"/>
  <c r="S461" i="11"/>
  <c r="S462" i="11"/>
  <c r="S463" i="11"/>
  <c r="S464" i="11"/>
  <c r="S465" i="11"/>
  <c r="T229" i="11"/>
  <c r="T230" i="11"/>
  <c r="T231" i="11"/>
  <c r="T232" i="11"/>
  <c r="T233" i="11"/>
  <c r="T234" i="11"/>
  <c r="T235" i="11"/>
  <c r="T236" i="11"/>
  <c r="T237" i="11"/>
  <c r="T238" i="11"/>
  <c r="T239" i="11"/>
  <c r="T240" i="11"/>
  <c r="T241" i="11"/>
  <c r="T242" i="11"/>
  <c r="T243" i="11"/>
  <c r="T244" i="11"/>
  <c r="T245" i="11"/>
  <c r="T246" i="11"/>
  <c r="T247" i="11"/>
  <c r="T248" i="11"/>
  <c r="T249" i="11"/>
  <c r="T250" i="11"/>
  <c r="T251" i="11"/>
  <c r="T252" i="11"/>
  <c r="T253" i="11"/>
  <c r="T254" i="11"/>
  <c r="T255" i="11"/>
  <c r="T256" i="11"/>
  <c r="T257" i="11"/>
  <c r="T258" i="11"/>
  <c r="T259" i="11"/>
  <c r="T260" i="11"/>
  <c r="T261" i="11"/>
  <c r="T262" i="11"/>
  <c r="T263" i="11"/>
  <c r="T264" i="11"/>
  <c r="T265" i="11"/>
  <c r="T266" i="11"/>
  <c r="T267" i="11"/>
  <c r="T268" i="11"/>
  <c r="T269" i="11"/>
  <c r="T270" i="11"/>
  <c r="T271" i="11"/>
  <c r="T272" i="11"/>
  <c r="T273" i="11"/>
  <c r="T274" i="11"/>
  <c r="T275" i="11"/>
  <c r="T276" i="11"/>
  <c r="T277" i="11"/>
  <c r="T278" i="11"/>
  <c r="T279" i="11"/>
  <c r="T280" i="11"/>
  <c r="T281" i="11"/>
  <c r="T282" i="11"/>
  <c r="T283" i="11"/>
  <c r="T284" i="11"/>
  <c r="T285" i="11"/>
  <c r="T286" i="11"/>
  <c r="T287" i="11"/>
  <c r="T288" i="11"/>
  <c r="T289" i="11"/>
  <c r="T290" i="11"/>
  <c r="T291" i="11"/>
  <c r="T292" i="11"/>
  <c r="T293" i="11"/>
  <c r="T294" i="11"/>
  <c r="T295" i="11"/>
  <c r="T296" i="11"/>
  <c r="T297" i="11"/>
  <c r="T298" i="11"/>
  <c r="T299" i="11"/>
  <c r="T300" i="11"/>
  <c r="T301" i="11"/>
  <c r="T302" i="11"/>
  <c r="T303" i="11"/>
  <c r="T304" i="11"/>
  <c r="T305" i="11"/>
  <c r="T306" i="11"/>
  <c r="T307" i="11"/>
  <c r="T308" i="11"/>
  <c r="T309" i="11"/>
  <c r="T310" i="11"/>
  <c r="T311" i="11"/>
  <c r="T312" i="11"/>
  <c r="T313" i="11"/>
  <c r="T314" i="11"/>
  <c r="T315" i="11"/>
  <c r="T316" i="11"/>
  <c r="T317" i="11"/>
  <c r="T318" i="11"/>
  <c r="T319" i="11"/>
  <c r="T320" i="11"/>
  <c r="T321" i="11"/>
  <c r="T322" i="11"/>
  <c r="T323" i="11"/>
  <c r="T324" i="11"/>
  <c r="T325" i="11"/>
  <c r="T326" i="11"/>
  <c r="T327" i="11"/>
  <c r="T328" i="11"/>
  <c r="T329" i="11"/>
  <c r="T330" i="11"/>
  <c r="T331" i="11"/>
  <c r="T332" i="11"/>
  <c r="T333" i="11"/>
  <c r="T334" i="11"/>
  <c r="T335" i="11"/>
  <c r="T336" i="11"/>
  <c r="T337" i="11"/>
  <c r="T338" i="11"/>
  <c r="T339" i="11"/>
  <c r="T340" i="11"/>
  <c r="T341" i="11"/>
  <c r="T342" i="11"/>
  <c r="T343" i="11"/>
  <c r="T344" i="11"/>
  <c r="T345" i="11"/>
  <c r="T346" i="11"/>
  <c r="T347" i="11"/>
  <c r="T348" i="11"/>
  <c r="T349" i="11"/>
  <c r="T350" i="11"/>
  <c r="T351" i="11"/>
  <c r="T352" i="11"/>
  <c r="T353" i="11"/>
  <c r="T354" i="11"/>
  <c r="T355" i="11"/>
  <c r="T356" i="11"/>
  <c r="T357" i="11"/>
  <c r="T358" i="11"/>
  <c r="T359" i="11"/>
  <c r="T360" i="11"/>
  <c r="T361" i="11"/>
  <c r="T362" i="11"/>
  <c r="T363" i="11"/>
  <c r="T364" i="11"/>
  <c r="T365" i="11"/>
  <c r="T366" i="11"/>
  <c r="T367" i="11"/>
  <c r="T368" i="11"/>
  <c r="T369" i="11"/>
  <c r="T370" i="11"/>
  <c r="T371" i="11"/>
  <c r="T372" i="11"/>
  <c r="T373" i="11"/>
  <c r="T226" i="11"/>
  <c r="T227" i="11"/>
  <c r="T228" i="11"/>
  <c r="S226" i="11"/>
  <c r="S227" i="11"/>
  <c r="S228" i="11"/>
  <c r="S229" i="11"/>
  <c r="S230" i="11"/>
  <c r="S231" i="11"/>
  <c r="S232" i="11"/>
  <c r="S233" i="11"/>
  <c r="S234" i="11"/>
  <c r="S235" i="11"/>
  <c r="S236" i="11"/>
  <c r="S237" i="11"/>
  <c r="S238" i="11"/>
  <c r="S239" i="11"/>
  <c r="S240" i="11"/>
  <c r="S241" i="11"/>
  <c r="S242" i="11"/>
  <c r="S243" i="11"/>
  <c r="S244" i="11"/>
  <c r="S245" i="11"/>
  <c r="S246" i="11"/>
  <c r="S247" i="11"/>
  <c r="S248" i="11"/>
  <c r="S249" i="11"/>
  <c r="S250" i="11"/>
  <c r="S251" i="11"/>
  <c r="S252" i="11"/>
  <c r="S253" i="11"/>
  <c r="S254" i="11"/>
  <c r="S255" i="11"/>
  <c r="S256" i="11"/>
  <c r="S257" i="11"/>
  <c r="S258" i="11"/>
  <c r="S259" i="11"/>
  <c r="S260" i="11"/>
  <c r="S261" i="11"/>
  <c r="S262" i="11"/>
  <c r="S263" i="11"/>
  <c r="S264" i="11"/>
  <c r="S265" i="11"/>
  <c r="S266" i="11"/>
  <c r="S267" i="11"/>
  <c r="S268" i="11"/>
  <c r="S269" i="11"/>
  <c r="S270" i="11"/>
  <c r="S271" i="11"/>
  <c r="S272" i="11"/>
  <c r="S273" i="11"/>
  <c r="S274" i="11"/>
  <c r="S275" i="11"/>
  <c r="S276" i="11"/>
  <c r="S277" i="11"/>
  <c r="S278" i="11"/>
  <c r="S279" i="11"/>
  <c r="S280" i="11"/>
  <c r="S281" i="11"/>
  <c r="S282" i="11"/>
  <c r="S283" i="11"/>
  <c r="S284" i="11"/>
  <c r="S285" i="11"/>
  <c r="S286" i="11"/>
  <c r="S287" i="11"/>
  <c r="S288" i="11"/>
  <c r="S289" i="11"/>
  <c r="S290" i="11"/>
  <c r="S291" i="11"/>
  <c r="S292" i="11"/>
  <c r="S293" i="11"/>
  <c r="S294" i="11"/>
  <c r="S295" i="11"/>
  <c r="S296" i="11"/>
  <c r="S297" i="11"/>
  <c r="S298" i="11"/>
  <c r="S299" i="11"/>
  <c r="S300" i="11"/>
  <c r="S301" i="11"/>
  <c r="S302" i="11"/>
  <c r="S303" i="11"/>
  <c r="S304" i="11"/>
  <c r="S305" i="11"/>
  <c r="S306" i="11"/>
  <c r="S307" i="11"/>
  <c r="S308" i="11"/>
  <c r="S309" i="11"/>
  <c r="S310" i="11"/>
  <c r="S311" i="11"/>
  <c r="S312" i="11"/>
  <c r="S313" i="11"/>
  <c r="S314" i="11"/>
  <c r="S315" i="11"/>
  <c r="S316" i="11"/>
  <c r="S317" i="11"/>
  <c r="S318" i="11"/>
  <c r="S319" i="11"/>
  <c r="S320" i="11"/>
  <c r="S321" i="11"/>
  <c r="S322" i="11"/>
  <c r="S323" i="11"/>
  <c r="S324" i="11"/>
  <c r="S325" i="11"/>
  <c r="S326" i="11"/>
  <c r="S327" i="11"/>
  <c r="S328" i="11"/>
  <c r="S329" i="11"/>
  <c r="S330" i="11"/>
  <c r="S331" i="11"/>
  <c r="S332" i="11"/>
  <c r="S333" i="11"/>
  <c r="S334" i="11"/>
  <c r="S335" i="11"/>
  <c r="S336" i="11"/>
  <c r="S337" i="11"/>
  <c r="S338" i="11"/>
  <c r="S339" i="11"/>
  <c r="S340" i="11"/>
  <c r="S341" i="11"/>
  <c r="S342" i="11"/>
  <c r="S343" i="11"/>
  <c r="S344" i="11"/>
  <c r="S345" i="11"/>
  <c r="S346" i="11"/>
  <c r="S347" i="11"/>
  <c r="S348" i="11"/>
  <c r="S349" i="11"/>
  <c r="S350" i="11"/>
  <c r="S351" i="11"/>
  <c r="S352" i="11"/>
  <c r="S353" i="11"/>
  <c r="S354" i="11"/>
  <c r="S355" i="11"/>
  <c r="S356" i="11"/>
  <c r="S357" i="11"/>
  <c r="S358" i="11"/>
  <c r="S359" i="11"/>
  <c r="S360" i="11"/>
  <c r="S361" i="11"/>
  <c r="S362" i="11"/>
  <c r="S363" i="11"/>
  <c r="S364" i="11"/>
  <c r="S365" i="11"/>
  <c r="S366" i="11"/>
  <c r="S367" i="11"/>
  <c r="S368" i="11"/>
  <c r="S369" i="11"/>
  <c r="S370" i="11"/>
  <c r="S371" i="11"/>
  <c r="S372" i="11"/>
  <c r="S373" i="11"/>
  <c r="T114" i="11"/>
  <c r="T115" i="11"/>
  <c r="T116" i="11"/>
  <c r="T117" i="11"/>
  <c r="T118" i="11"/>
  <c r="T119" i="11"/>
  <c r="T120" i="11"/>
  <c r="T121" i="11"/>
  <c r="T122" i="11"/>
  <c r="T123" i="11"/>
  <c r="T124" i="11"/>
  <c r="T125" i="11"/>
  <c r="T126" i="11"/>
  <c r="T127" i="11"/>
  <c r="T128" i="11"/>
  <c r="T129" i="11"/>
  <c r="T130" i="11"/>
  <c r="T131" i="11"/>
  <c r="T132" i="11"/>
  <c r="T133" i="11"/>
  <c r="T134" i="11"/>
  <c r="T135" i="11"/>
  <c r="T136" i="11"/>
  <c r="T137" i="11"/>
  <c r="T138" i="11"/>
  <c r="T139" i="11"/>
  <c r="T140" i="11"/>
  <c r="T141" i="11"/>
  <c r="T142" i="11"/>
  <c r="T143" i="11"/>
  <c r="T144" i="11"/>
  <c r="T145" i="11"/>
  <c r="T146" i="11"/>
  <c r="T147" i="11"/>
  <c r="T148" i="11"/>
  <c r="T149" i="11"/>
  <c r="T150" i="11"/>
  <c r="T151" i="11"/>
  <c r="T152" i="11"/>
  <c r="T153" i="11"/>
  <c r="T154" i="11"/>
  <c r="T155" i="11"/>
  <c r="T156" i="11"/>
  <c r="T157" i="11"/>
  <c r="T158" i="11"/>
  <c r="T159" i="11"/>
  <c r="T160" i="11"/>
  <c r="T161" i="11"/>
  <c r="T162" i="11"/>
  <c r="T163" i="11"/>
  <c r="T164" i="11"/>
  <c r="T165" i="11"/>
  <c r="T166" i="11"/>
  <c r="T167" i="11"/>
  <c r="T168" i="11"/>
  <c r="T169" i="11"/>
  <c r="T170" i="11"/>
  <c r="T171" i="11"/>
  <c r="T172" i="11"/>
  <c r="T173" i="11"/>
  <c r="T174" i="11"/>
  <c r="T175" i="11"/>
  <c r="T176" i="11"/>
  <c r="T177" i="11"/>
  <c r="T178" i="11"/>
  <c r="T179" i="11"/>
  <c r="T180" i="11"/>
  <c r="T181" i="11"/>
  <c r="T182" i="11"/>
  <c r="T183" i="11"/>
  <c r="T184" i="11"/>
  <c r="T185" i="11"/>
  <c r="T186" i="11"/>
  <c r="T187" i="11"/>
  <c r="T188" i="11"/>
  <c r="T189" i="11"/>
  <c r="T190" i="11"/>
  <c r="T191" i="11"/>
  <c r="T192" i="11"/>
  <c r="T193" i="11"/>
  <c r="T194" i="11"/>
  <c r="T195" i="11"/>
  <c r="T196" i="11"/>
  <c r="T197" i="11"/>
  <c r="T198" i="11"/>
  <c r="T199" i="11"/>
  <c r="T200" i="11"/>
  <c r="T201" i="11"/>
  <c r="T202" i="11"/>
  <c r="T203" i="11"/>
  <c r="T204" i="11"/>
  <c r="T205" i="11"/>
  <c r="T206" i="11"/>
  <c r="T207" i="11"/>
  <c r="T208" i="11"/>
  <c r="T209" i="11"/>
  <c r="T210" i="11"/>
  <c r="T211" i="11"/>
  <c r="T212" i="11"/>
  <c r="T213" i="11"/>
  <c r="T214" i="11"/>
  <c r="T215" i="11"/>
  <c r="T216" i="11"/>
  <c r="T217" i="11"/>
  <c r="T218" i="11"/>
  <c r="T219" i="11"/>
  <c r="T220" i="11"/>
  <c r="T221" i="11"/>
  <c r="T222" i="11"/>
  <c r="T223" i="11"/>
  <c r="T224" i="11"/>
  <c r="T225" i="11"/>
  <c r="S114" i="11"/>
  <c r="S115" i="11"/>
  <c r="S116" i="11"/>
  <c r="S117" i="11"/>
  <c r="S118" i="11"/>
  <c r="S119" i="11"/>
  <c r="S120" i="11"/>
  <c r="S121" i="11"/>
  <c r="S122" i="11"/>
  <c r="S123" i="11"/>
  <c r="S124" i="11"/>
  <c r="S125" i="11"/>
  <c r="S126" i="11"/>
  <c r="S127" i="11"/>
  <c r="S128" i="11"/>
  <c r="S129" i="11"/>
  <c r="S130" i="11"/>
  <c r="S131" i="11"/>
  <c r="S132" i="11"/>
  <c r="S133" i="11"/>
  <c r="S134" i="11"/>
  <c r="S135" i="11"/>
  <c r="S136" i="11"/>
  <c r="S137" i="11"/>
  <c r="S138" i="11"/>
  <c r="S139" i="11"/>
  <c r="S140" i="11"/>
  <c r="S141" i="11"/>
  <c r="S142" i="11"/>
  <c r="S143" i="11"/>
  <c r="S144" i="11"/>
  <c r="S145" i="11"/>
  <c r="S146" i="11"/>
  <c r="S147" i="11"/>
  <c r="S148" i="11"/>
  <c r="S149" i="11"/>
  <c r="S150" i="11"/>
  <c r="S151" i="11"/>
  <c r="S152" i="11"/>
  <c r="S153" i="11"/>
  <c r="S154" i="11"/>
  <c r="S155" i="11"/>
  <c r="S156" i="11"/>
  <c r="S157" i="11"/>
  <c r="S158" i="11"/>
  <c r="S159" i="11"/>
  <c r="S160" i="11"/>
  <c r="S161" i="11"/>
  <c r="S162" i="11"/>
  <c r="S163" i="11"/>
  <c r="S164" i="11"/>
  <c r="S165" i="11"/>
  <c r="S166" i="11"/>
  <c r="S167" i="11"/>
  <c r="S168" i="11"/>
  <c r="S169" i="11"/>
  <c r="S170" i="11"/>
  <c r="S171" i="11"/>
  <c r="S172" i="11"/>
  <c r="S173" i="11"/>
  <c r="S174" i="11"/>
  <c r="S175" i="11"/>
  <c r="S176" i="11"/>
  <c r="S177" i="11"/>
  <c r="S178" i="11"/>
  <c r="S179" i="11"/>
  <c r="S180" i="11"/>
  <c r="S181" i="11"/>
  <c r="S182" i="11"/>
  <c r="S183" i="11"/>
  <c r="S184" i="11"/>
  <c r="S185" i="11"/>
  <c r="S186" i="11"/>
  <c r="S187" i="11"/>
  <c r="S188" i="11"/>
  <c r="S189" i="11"/>
  <c r="S190" i="11"/>
  <c r="S191" i="11"/>
  <c r="S192" i="11"/>
  <c r="S193" i="11"/>
  <c r="S194" i="11"/>
  <c r="S195" i="11"/>
  <c r="S196" i="11"/>
  <c r="S197" i="11"/>
  <c r="S198" i="11"/>
  <c r="S199" i="11"/>
  <c r="S200" i="11"/>
  <c r="S201" i="11"/>
  <c r="S202" i="11"/>
  <c r="S203" i="11"/>
  <c r="S204" i="11"/>
  <c r="S205" i="11"/>
  <c r="S206" i="11"/>
  <c r="S207" i="11"/>
  <c r="S208" i="11"/>
  <c r="S209" i="11"/>
  <c r="S210" i="11"/>
  <c r="S211" i="11"/>
  <c r="S212" i="11"/>
  <c r="S213" i="11"/>
  <c r="S214" i="11"/>
  <c r="S215" i="11"/>
  <c r="S216" i="11"/>
  <c r="S217" i="11"/>
  <c r="S218" i="11"/>
  <c r="S219" i="11"/>
  <c r="S220" i="11"/>
  <c r="S221" i="11"/>
  <c r="S222" i="11"/>
  <c r="S223" i="11"/>
  <c r="S224" i="11"/>
  <c r="S225" i="11"/>
  <c r="T113" i="11"/>
  <c r="S113" i="11"/>
  <c r="R113" i="11"/>
  <c r="R114" i="11"/>
  <c r="R115" i="11"/>
  <c r="R116" i="11"/>
  <c r="R117" i="11"/>
  <c r="R118" i="11"/>
  <c r="R119" i="11"/>
  <c r="R120" i="11"/>
  <c r="R121" i="11"/>
  <c r="R122" i="11"/>
  <c r="R123" i="11"/>
  <c r="R124" i="11"/>
  <c r="R125" i="11"/>
  <c r="R126" i="11"/>
  <c r="R127" i="11"/>
  <c r="R128" i="11"/>
  <c r="R129" i="11"/>
  <c r="R130" i="11"/>
  <c r="R131" i="11"/>
  <c r="R132" i="11"/>
  <c r="R133" i="11"/>
  <c r="R134" i="11"/>
  <c r="R135" i="11"/>
  <c r="R136" i="11"/>
  <c r="R137" i="11"/>
  <c r="R138" i="11"/>
  <c r="R139" i="11"/>
  <c r="R140" i="11"/>
  <c r="R141" i="11"/>
  <c r="R142" i="11"/>
  <c r="R143" i="11"/>
  <c r="R144" i="11"/>
  <c r="R145" i="11"/>
  <c r="R146" i="11"/>
  <c r="R147" i="11"/>
  <c r="R148" i="11"/>
  <c r="R149" i="11"/>
  <c r="R150" i="11"/>
  <c r="R151" i="11"/>
  <c r="R152" i="11"/>
  <c r="R153" i="11"/>
  <c r="R154" i="11"/>
  <c r="R155" i="11"/>
  <c r="R156" i="11"/>
  <c r="R157" i="11"/>
  <c r="R158" i="11"/>
  <c r="R159" i="11"/>
  <c r="R160" i="11"/>
  <c r="R161" i="11"/>
  <c r="R162" i="11"/>
  <c r="R163" i="11"/>
  <c r="R164" i="11"/>
  <c r="R165" i="11"/>
  <c r="R166" i="11"/>
  <c r="R167" i="11"/>
  <c r="R168" i="11"/>
  <c r="R169" i="11"/>
  <c r="R170" i="11"/>
  <c r="R171" i="11"/>
  <c r="R172" i="11"/>
  <c r="R173" i="11"/>
  <c r="R174" i="11"/>
  <c r="R175" i="11"/>
  <c r="R176" i="11"/>
  <c r="R177" i="11"/>
  <c r="R178" i="11"/>
  <c r="R179" i="11"/>
  <c r="R180" i="11"/>
  <c r="R181" i="11"/>
  <c r="R182" i="11"/>
  <c r="R183" i="11"/>
  <c r="R184" i="11"/>
  <c r="R185" i="11"/>
  <c r="R186" i="11"/>
  <c r="R187" i="11"/>
  <c r="R188" i="11"/>
  <c r="R189" i="11"/>
  <c r="R190" i="11"/>
  <c r="R191" i="11"/>
  <c r="R192" i="11"/>
  <c r="R193" i="11"/>
  <c r="R194" i="11"/>
  <c r="R195" i="11"/>
  <c r="R196" i="11"/>
  <c r="R197" i="11"/>
  <c r="R198" i="11"/>
  <c r="R199" i="11"/>
  <c r="R200" i="11"/>
  <c r="R201" i="11"/>
  <c r="R202" i="11"/>
  <c r="R203" i="11"/>
  <c r="R204" i="11"/>
  <c r="R205" i="11"/>
  <c r="R206" i="11"/>
  <c r="R207" i="11"/>
  <c r="R208" i="11"/>
  <c r="R209" i="11"/>
  <c r="R210" i="11"/>
  <c r="R211" i="11"/>
  <c r="R212" i="11"/>
  <c r="R213" i="11"/>
  <c r="R214" i="11"/>
  <c r="R215" i="11"/>
  <c r="R216" i="11"/>
  <c r="R217" i="11"/>
  <c r="R218" i="11"/>
  <c r="R219" i="11"/>
  <c r="R220" i="11"/>
  <c r="R221" i="11"/>
  <c r="R222" i="11"/>
  <c r="R223" i="11"/>
  <c r="R224" i="11"/>
  <c r="R225" i="11"/>
  <c r="R226" i="11"/>
  <c r="R227" i="11"/>
  <c r="R228" i="11"/>
  <c r="R229" i="11"/>
  <c r="R230" i="11"/>
  <c r="R231" i="11"/>
  <c r="R232" i="11"/>
  <c r="R233" i="11"/>
  <c r="R234" i="11"/>
  <c r="R235" i="11"/>
  <c r="R236" i="11"/>
  <c r="R237" i="11"/>
  <c r="R238" i="11"/>
  <c r="R239" i="11"/>
  <c r="R240" i="11"/>
  <c r="R241" i="11"/>
  <c r="R242" i="11"/>
  <c r="R243" i="11"/>
  <c r="R244" i="11"/>
  <c r="R245" i="11"/>
  <c r="R246" i="11"/>
  <c r="R247" i="11"/>
  <c r="R248" i="11"/>
  <c r="R249" i="11"/>
  <c r="R250" i="11"/>
  <c r="R251" i="11"/>
  <c r="R252" i="11"/>
  <c r="R253" i="11"/>
  <c r="R254" i="11"/>
  <c r="R255" i="11"/>
  <c r="R256" i="11"/>
  <c r="R257" i="11"/>
  <c r="R258" i="11"/>
  <c r="R259" i="11"/>
  <c r="R260" i="11"/>
  <c r="R261" i="11"/>
  <c r="R262" i="11"/>
  <c r="R263" i="11"/>
  <c r="R264" i="11"/>
  <c r="R265" i="11"/>
  <c r="R266" i="11"/>
  <c r="R267" i="11"/>
  <c r="R268" i="11"/>
  <c r="R269" i="11"/>
  <c r="R270" i="11"/>
  <c r="R271" i="11"/>
  <c r="R272" i="11"/>
  <c r="R273" i="11"/>
  <c r="R274" i="11"/>
  <c r="R275" i="11"/>
  <c r="R276" i="11"/>
  <c r="R277" i="11"/>
  <c r="R278" i="11"/>
  <c r="R279" i="11"/>
  <c r="R280" i="11"/>
  <c r="R281" i="11"/>
  <c r="R282" i="11"/>
  <c r="R283" i="11"/>
  <c r="R284" i="11"/>
  <c r="R285" i="11"/>
  <c r="R286" i="11"/>
  <c r="R287" i="11"/>
  <c r="R288" i="11"/>
  <c r="R289" i="11"/>
  <c r="R290" i="11"/>
  <c r="R291" i="11"/>
  <c r="R292" i="11"/>
  <c r="R293" i="11"/>
  <c r="R294" i="11"/>
  <c r="R295" i="11"/>
  <c r="R296" i="11"/>
  <c r="R297" i="11"/>
  <c r="R298" i="11"/>
  <c r="R299" i="11"/>
  <c r="R300" i="11"/>
  <c r="R301" i="11"/>
  <c r="R302" i="11"/>
  <c r="R303" i="11"/>
  <c r="R304" i="11"/>
  <c r="R305" i="11"/>
  <c r="R306" i="11"/>
  <c r="R307" i="11"/>
  <c r="R308" i="11"/>
  <c r="R309" i="11"/>
  <c r="R310" i="11"/>
  <c r="R311" i="11"/>
  <c r="R312" i="11"/>
  <c r="R313" i="11"/>
  <c r="R314" i="11"/>
  <c r="R315" i="11"/>
  <c r="R316" i="11"/>
  <c r="R317" i="11"/>
  <c r="R318" i="11"/>
  <c r="R319" i="11"/>
  <c r="R320" i="11"/>
  <c r="R321" i="11"/>
  <c r="R322" i="11"/>
  <c r="R323" i="11"/>
  <c r="R324" i="11"/>
  <c r="R325" i="11"/>
  <c r="R326" i="11"/>
  <c r="R327" i="11"/>
  <c r="R328" i="11"/>
  <c r="R329" i="11"/>
  <c r="R330" i="11"/>
  <c r="R331" i="11"/>
  <c r="R332" i="11"/>
  <c r="R333" i="11"/>
  <c r="R334" i="11"/>
  <c r="R335" i="11"/>
  <c r="R336" i="11"/>
  <c r="R337" i="11"/>
  <c r="R338" i="11"/>
  <c r="R339" i="11"/>
  <c r="R340" i="11"/>
  <c r="R341" i="11"/>
  <c r="R342" i="11"/>
  <c r="R343" i="11"/>
  <c r="R344" i="11"/>
  <c r="R345" i="11"/>
  <c r="R346" i="11"/>
  <c r="R347" i="11"/>
  <c r="R348" i="11"/>
  <c r="R349" i="11"/>
  <c r="R350" i="11"/>
  <c r="R351" i="11"/>
  <c r="R352" i="11"/>
  <c r="R353" i="11"/>
  <c r="R354" i="11"/>
  <c r="R355" i="11"/>
  <c r="R356" i="11"/>
  <c r="R357" i="11"/>
  <c r="R358" i="11"/>
  <c r="R359" i="11"/>
  <c r="R360" i="11"/>
  <c r="R361" i="11"/>
  <c r="R362" i="11"/>
  <c r="R363" i="11"/>
  <c r="R364" i="11"/>
  <c r="R365" i="11"/>
  <c r="R366" i="11"/>
  <c r="R367" i="11"/>
  <c r="R368" i="11"/>
  <c r="R369" i="11"/>
  <c r="R370" i="11"/>
  <c r="R371" i="11"/>
  <c r="R372" i="11"/>
  <c r="R373" i="11"/>
  <c r="R374" i="11"/>
  <c r="R375" i="11"/>
  <c r="R376" i="11"/>
  <c r="R377" i="11"/>
  <c r="R378" i="11"/>
  <c r="R379" i="11"/>
  <c r="R380" i="11"/>
  <c r="R381" i="11"/>
  <c r="R382" i="11"/>
  <c r="R383" i="11"/>
  <c r="R384" i="11"/>
  <c r="R385" i="11"/>
  <c r="R386" i="11"/>
  <c r="R387" i="11"/>
  <c r="R388" i="11"/>
  <c r="R389" i="11"/>
  <c r="R390" i="11"/>
  <c r="R391" i="11"/>
  <c r="R392" i="11"/>
  <c r="R393" i="11"/>
  <c r="R394" i="11"/>
  <c r="R395" i="11"/>
  <c r="R396" i="11"/>
  <c r="R397" i="11"/>
  <c r="R398" i="11"/>
  <c r="R399" i="11"/>
  <c r="R400" i="11"/>
  <c r="R401" i="11"/>
  <c r="R402" i="11"/>
  <c r="R403" i="11"/>
  <c r="R404" i="11"/>
  <c r="R405" i="11"/>
  <c r="R406" i="11"/>
  <c r="R407" i="11"/>
  <c r="R408" i="11"/>
  <c r="R409" i="11"/>
  <c r="R410" i="11"/>
  <c r="R411" i="11"/>
  <c r="R412" i="11"/>
  <c r="R413" i="11"/>
  <c r="R414" i="11"/>
  <c r="R415" i="11"/>
  <c r="R416" i="11"/>
  <c r="R417" i="11"/>
  <c r="R418" i="11"/>
  <c r="R419" i="11"/>
  <c r="R420" i="11"/>
  <c r="R421" i="11"/>
  <c r="R422" i="11"/>
  <c r="R423" i="11"/>
  <c r="R424" i="11"/>
  <c r="R425" i="11"/>
  <c r="R426" i="11"/>
  <c r="R427" i="11"/>
  <c r="R428" i="11"/>
  <c r="R429" i="11"/>
  <c r="R430" i="11"/>
  <c r="R431" i="11"/>
  <c r="R432" i="11"/>
  <c r="R433" i="11"/>
  <c r="R434" i="11"/>
  <c r="R435" i="11"/>
  <c r="R436" i="11"/>
  <c r="R437" i="11"/>
  <c r="R438" i="11"/>
  <c r="R439" i="11"/>
  <c r="R440" i="11"/>
  <c r="R441" i="11"/>
  <c r="R442" i="11"/>
  <c r="R443" i="11"/>
  <c r="R444" i="11"/>
  <c r="R445" i="11"/>
  <c r="R446" i="11"/>
  <c r="R447" i="11"/>
  <c r="R448" i="11"/>
  <c r="R449" i="11"/>
  <c r="R450" i="11"/>
  <c r="R451" i="11"/>
  <c r="R452" i="11"/>
  <c r="R453" i="11"/>
  <c r="R454" i="11"/>
  <c r="R455" i="11"/>
  <c r="R456" i="11"/>
  <c r="R457" i="11"/>
  <c r="R458" i="11"/>
  <c r="R459" i="11"/>
  <c r="R460" i="11"/>
  <c r="R461" i="11"/>
  <c r="R462" i="11"/>
  <c r="R463" i="11"/>
  <c r="R464" i="11"/>
  <c r="R465" i="11"/>
  <c r="R466" i="11"/>
  <c r="R467" i="11"/>
  <c r="R468" i="11"/>
  <c r="R469" i="11"/>
  <c r="R470" i="11"/>
  <c r="R471" i="11"/>
  <c r="R472" i="11"/>
  <c r="R473" i="11"/>
  <c r="R474" i="11"/>
  <c r="R475" i="11"/>
  <c r="R476" i="11"/>
  <c r="R477" i="11"/>
  <c r="R478" i="11"/>
  <c r="R479" i="11"/>
  <c r="R480" i="11"/>
  <c r="R481" i="11"/>
  <c r="R482" i="11"/>
  <c r="R483" i="11"/>
  <c r="R484" i="11"/>
  <c r="R485" i="11"/>
  <c r="R486" i="11"/>
  <c r="R487" i="11"/>
  <c r="R488" i="11"/>
  <c r="R489" i="11"/>
  <c r="R490" i="11"/>
  <c r="R491" i="11"/>
  <c r="R492" i="11"/>
  <c r="R493" i="11"/>
  <c r="R494" i="11"/>
  <c r="R495" i="11"/>
  <c r="R496" i="11"/>
  <c r="R497" i="11"/>
  <c r="R498" i="11"/>
  <c r="R499" i="11"/>
  <c r="R500" i="11"/>
  <c r="R501" i="11"/>
  <c r="R502" i="11"/>
  <c r="R503" i="11"/>
  <c r="R504" i="11"/>
  <c r="R505" i="11"/>
  <c r="R506" i="11"/>
  <c r="R507" i="11"/>
  <c r="R508" i="11"/>
  <c r="R509" i="11"/>
  <c r="R510" i="11"/>
  <c r="R511" i="11"/>
  <c r="R512" i="11"/>
  <c r="R513" i="11"/>
  <c r="R514" i="11"/>
  <c r="R515" i="11"/>
  <c r="R516" i="11"/>
  <c r="R517" i="11"/>
  <c r="R518" i="11"/>
  <c r="R519" i="11"/>
  <c r="R520" i="11"/>
  <c r="R521" i="11"/>
  <c r="R522" i="11"/>
  <c r="R523" i="11"/>
  <c r="R524" i="11"/>
  <c r="R525" i="11"/>
  <c r="R526" i="11"/>
  <c r="R527" i="11"/>
  <c r="R528" i="11"/>
  <c r="R529" i="11"/>
  <c r="R530" i="11"/>
  <c r="R531" i="11"/>
  <c r="R532" i="11"/>
  <c r="R533" i="11"/>
  <c r="R534" i="11"/>
  <c r="R535" i="11"/>
  <c r="R536" i="11"/>
  <c r="R537" i="11"/>
  <c r="R538" i="11"/>
  <c r="R539" i="11"/>
  <c r="R540" i="11"/>
  <c r="R541" i="11"/>
  <c r="R542" i="11"/>
  <c r="R543" i="11"/>
  <c r="R544" i="11"/>
  <c r="R545" i="11"/>
  <c r="R546" i="11"/>
  <c r="R547" i="11"/>
  <c r="R548" i="11"/>
  <c r="R549" i="11"/>
  <c r="R550" i="11"/>
  <c r="R551" i="11"/>
  <c r="R552" i="11"/>
  <c r="R553" i="11"/>
  <c r="R554" i="11"/>
  <c r="R555" i="11"/>
  <c r="R556" i="11"/>
  <c r="R557" i="11"/>
  <c r="R558" i="11"/>
  <c r="R559" i="11"/>
  <c r="R560" i="11"/>
  <c r="R561" i="11"/>
  <c r="R562" i="11"/>
  <c r="R563" i="11"/>
  <c r="R564" i="11"/>
  <c r="R565" i="11"/>
  <c r="R566" i="11"/>
  <c r="R567" i="11"/>
  <c r="R568" i="11"/>
  <c r="R569" i="11"/>
  <c r="R570" i="11"/>
  <c r="R571" i="11"/>
  <c r="R572" i="11"/>
  <c r="R573" i="11"/>
  <c r="R574" i="11"/>
  <c r="R575" i="11"/>
  <c r="R576" i="11"/>
  <c r="R577" i="11"/>
  <c r="R578" i="11"/>
  <c r="R579" i="11"/>
  <c r="R580" i="11"/>
  <c r="R581" i="11"/>
  <c r="R582" i="11"/>
  <c r="R583" i="11"/>
  <c r="R584" i="11"/>
  <c r="R585" i="11"/>
  <c r="R586" i="11"/>
  <c r="R587" i="11"/>
  <c r="R588" i="11"/>
  <c r="R589" i="11"/>
  <c r="R590" i="11"/>
  <c r="R591" i="11"/>
  <c r="R592" i="11"/>
  <c r="R593" i="11"/>
  <c r="R594" i="11"/>
  <c r="R595" i="11"/>
  <c r="R596" i="11"/>
  <c r="R597" i="11"/>
  <c r="R598" i="11"/>
  <c r="R599" i="11"/>
  <c r="R600" i="11"/>
  <c r="R601" i="11"/>
  <c r="R602" i="11"/>
  <c r="R603" i="11"/>
  <c r="R604" i="11"/>
  <c r="R605" i="11"/>
  <c r="R606" i="11"/>
  <c r="R607" i="11"/>
  <c r="R608" i="11"/>
  <c r="R609" i="11"/>
  <c r="R610" i="11"/>
  <c r="R611" i="11"/>
  <c r="R612" i="11"/>
  <c r="R613" i="11"/>
  <c r="R614" i="11"/>
  <c r="R615" i="11"/>
  <c r="R616" i="11"/>
  <c r="R617" i="11"/>
  <c r="R618" i="11"/>
  <c r="R619" i="11"/>
  <c r="R620" i="11"/>
  <c r="R621" i="11"/>
  <c r="R622" i="11"/>
  <c r="R623" i="11"/>
  <c r="R624" i="11"/>
  <c r="R625" i="11"/>
  <c r="R626" i="11"/>
  <c r="R627" i="11"/>
  <c r="R628" i="11"/>
  <c r="R629" i="11"/>
  <c r="R630" i="11"/>
  <c r="R631" i="11"/>
  <c r="R632" i="11"/>
  <c r="R633" i="11"/>
  <c r="R634" i="11"/>
  <c r="R635" i="11"/>
  <c r="R636" i="11"/>
  <c r="P113" i="11"/>
  <c r="O113" i="11"/>
  <c r="R112" i="11"/>
  <c r="S11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O3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P3" i="11"/>
  <c r="O3" i="1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T2" i="11"/>
  <c r="S2" i="11"/>
  <c r="P2" i="11"/>
  <c r="O2" i="11"/>
  <c r="N2" i="11"/>
  <c r="F4" i="10"/>
  <c r="J3" i="10"/>
  <c r="N23" i="10"/>
  <c r="N22" i="10"/>
  <c r="N21" i="10"/>
  <c r="N20" i="10"/>
  <c r="N19" i="10"/>
  <c r="N18" i="10"/>
  <c r="T13" i="10"/>
  <c r="K13" i="10"/>
  <c r="T12" i="10"/>
  <c r="K12" i="10"/>
  <c r="T11" i="10"/>
  <c r="K11" i="10"/>
  <c r="T10" i="10"/>
  <c r="K10" i="10"/>
  <c r="T9" i="10"/>
  <c r="K9" i="10"/>
  <c r="L19" i="11"/>
  <c r="K19" i="11"/>
  <c r="K18" i="11"/>
  <c r="L18" i="11"/>
  <c r="L17" i="11"/>
  <c r="K17" i="11"/>
  <c r="K16" i="11"/>
  <c r="L16" i="11"/>
  <c r="L15" i="11"/>
  <c r="K15" i="11"/>
  <c r="T49" i="8"/>
  <c r="B740" i="9" s="1"/>
  <c r="T50" i="8"/>
  <c r="B749" i="9" s="1"/>
  <c r="T51" i="8"/>
  <c r="B758" i="9" s="1"/>
  <c r="S49" i="8"/>
  <c r="B739" i="9" s="1"/>
  <c r="S50" i="8"/>
  <c r="B748" i="9" s="1"/>
  <c r="S51" i="8"/>
  <c r="B757" i="9" s="1"/>
  <c r="S23" i="8"/>
  <c r="B626" i="9" s="1"/>
  <c r="S24" i="8"/>
  <c r="B635" i="9" s="1"/>
  <c r="S25" i="8"/>
  <c r="B644" i="9" s="1"/>
  <c r="S26" i="8"/>
  <c r="B653" i="9" s="1"/>
  <c r="S27" i="8"/>
  <c r="B662" i="9" s="1"/>
  <c r="B295" i="9"/>
  <c r="B303" i="9"/>
  <c r="B311" i="9"/>
  <c r="B319" i="9"/>
  <c r="B327" i="9"/>
  <c r="B335" i="9"/>
  <c r="B343" i="9"/>
  <c r="B351" i="9"/>
  <c r="B359" i="9"/>
  <c r="B367" i="9"/>
  <c r="B375" i="9"/>
  <c r="B383" i="9"/>
  <c r="B391" i="9"/>
  <c r="B399" i="9"/>
  <c r="B407" i="9"/>
  <c r="B415" i="9"/>
  <c r="B423" i="9"/>
  <c r="B431" i="9"/>
  <c r="B439" i="9"/>
  <c r="B447" i="9"/>
  <c r="B455" i="9"/>
  <c r="B463" i="9"/>
  <c r="B471" i="9"/>
  <c r="B479" i="9"/>
  <c r="G10" i="3"/>
  <c r="B287" i="9" s="1"/>
  <c r="B480" i="9"/>
  <c r="B481" i="9"/>
  <c r="B296" i="9"/>
  <c r="B297" i="9"/>
  <c r="B304" i="9"/>
  <c r="B305" i="9"/>
  <c r="B312" i="9"/>
  <c r="B313" i="9"/>
  <c r="B320" i="9"/>
  <c r="B321" i="9"/>
  <c r="B328" i="9"/>
  <c r="B329" i="9"/>
  <c r="B336" i="9"/>
  <c r="B337" i="9"/>
  <c r="B344" i="9"/>
  <c r="B345" i="9"/>
  <c r="B352" i="9"/>
  <c r="B353" i="9"/>
  <c r="B360" i="9"/>
  <c r="B361" i="9"/>
  <c r="B368" i="9"/>
  <c r="B369" i="9"/>
  <c r="B376" i="9"/>
  <c r="B377" i="9"/>
  <c r="B384" i="9"/>
  <c r="B392" i="9"/>
  <c r="B400" i="9"/>
  <c r="B401" i="9"/>
  <c r="B408" i="9"/>
  <c r="B416" i="9"/>
  <c r="B417" i="9"/>
  <c r="B424" i="9"/>
  <c r="B425" i="9"/>
  <c r="B432" i="9"/>
  <c r="B433" i="9"/>
  <c r="B440" i="9"/>
  <c r="B441" i="9"/>
  <c r="B448" i="9"/>
  <c r="B449" i="9"/>
  <c r="B456" i="9"/>
  <c r="B457" i="9"/>
  <c r="B464" i="9"/>
  <c r="B465" i="9"/>
  <c r="B472" i="9"/>
  <c r="B473" i="9"/>
  <c r="B289" i="9"/>
  <c r="H10" i="3"/>
  <c r="B288" i="9" s="1"/>
  <c r="F10" i="3"/>
  <c r="F16" i="8"/>
  <c r="B492" i="9" s="1"/>
  <c r="G16" i="8"/>
  <c r="B493" i="9" s="1"/>
  <c r="F17" i="8"/>
  <c r="B495" i="9" s="1"/>
  <c r="G17" i="8"/>
  <c r="B496" i="9" s="1"/>
  <c r="F18" i="8"/>
  <c r="B498" i="9" s="1"/>
  <c r="G18" i="8"/>
  <c r="B499" i="9" s="1"/>
  <c r="F19" i="8"/>
  <c r="B501" i="9" s="1"/>
  <c r="G19" i="8"/>
  <c r="B502" i="9" s="1"/>
  <c r="F20" i="8"/>
  <c r="B504" i="9" s="1"/>
  <c r="H20" i="8"/>
  <c r="G20" i="8"/>
  <c r="B505" i="9" s="1"/>
  <c r="F21" i="8"/>
  <c r="B507" i="9" s="1"/>
  <c r="G21" i="8"/>
  <c r="B508" i="9" s="1"/>
  <c r="F22" i="8"/>
  <c r="B510" i="9" s="1"/>
  <c r="G22" i="8"/>
  <c r="B511" i="9" s="1"/>
  <c r="F23" i="8"/>
  <c r="B513" i="9" s="1"/>
  <c r="G23" i="8"/>
  <c r="B514" i="9" s="1"/>
  <c r="F24" i="8"/>
  <c r="B516" i="9" s="1"/>
  <c r="G24" i="8"/>
  <c r="B517" i="9" s="1"/>
  <c r="F25" i="8"/>
  <c r="B519" i="9" s="1"/>
  <c r="G25" i="8"/>
  <c r="B520" i="9" s="1"/>
  <c r="F26" i="8"/>
  <c r="B522" i="9" s="1"/>
  <c r="G26" i="8"/>
  <c r="B523" i="9" s="1"/>
  <c r="F27" i="8"/>
  <c r="B525" i="9" s="1"/>
  <c r="G27" i="8"/>
  <c r="B526" i="9" s="1"/>
  <c r="F28" i="8"/>
  <c r="B528" i="9" s="1"/>
  <c r="G28" i="8"/>
  <c r="B529" i="9" s="1"/>
  <c r="F29" i="8"/>
  <c r="B531" i="9" s="1"/>
  <c r="G29" i="8"/>
  <c r="B532" i="9" s="1"/>
  <c r="F30" i="8"/>
  <c r="B534" i="9" s="1"/>
  <c r="G30" i="8"/>
  <c r="B535" i="9" s="1"/>
  <c r="F31" i="8"/>
  <c r="B537" i="9" s="1"/>
  <c r="G31" i="8"/>
  <c r="B538" i="9" s="1"/>
  <c r="F32" i="8"/>
  <c r="B540" i="9" s="1"/>
  <c r="G32" i="8"/>
  <c r="B541" i="9" s="1"/>
  <c r="G15" i="8"/>
  <c r="B490" i="9" s="1"/>
  <c r="F15" i="8"/>
  <c r="B489" i="9" s="1"/>
  <c r="T27" i="8"/>
  <c r="B663" i="9" s="1"/>
  <c r="T25" i="8"/>
  <c r="B645" i="9" s="1"/>
  <c r="T23" i="8"/>
  <c r="B627" i="9" s="1"/>
  <c r="H29" i="8"/>
  <c r="H21" i="8"/>
  <c r="H19" i="8"/>
  <c r="H17" i="8"/>
  <c r="R34" i="3"/>
  <c r="B277" i="9" s="1"/>
  <c r="R33" i="3"/>
  <c r="B269" i="9" s="1"/>
  <c r="R32" i="3"/>
  <c r="B261" i="9" s="1"/>
  <c r="R31" i="3"/>
  <c r="B253" i="9" s="1"/>
  <c r="R30" i="3"/>
  <c r="B245" i="9" s="1"/>
  <c r="R29" i="3"/>
  <c r="B237" i="9" s="1"/>
  <c r="R28" i="3"/>
  <c r="B229" i="9" s="1"/>
  <c r="R27" i="3"/>
  <c r="B221" i="9" s="1"/>
  <c r="R26" i="3"/>
  <c r="B213" i="9" s="1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E34" i="3"/>
  <c r="B477" i="9" s="1"/>
  <c r="E33" i="3"/>
  <c r="B469" i="9" s="1"/>
  <c r="E32" i="3"/>
  <c r="B461" i="9" s="1"/>
  <c r="E31" i="3"/>
  <c r="B453" i="9" s="1"/>
  <c r="E30" i="3"/>
  <c r="B445" i="9" s="1"/>
  <c r="E29" i="3"/>
  <c r="B437" i="9" s="1"/>
  <c r="E28" i="3"/>
  <c r="B429" i="9" s="1"/>
  <c r="E27" i="3"/>
  <c r="B421" i="9" s="1"/>
  <c r="E26" i="3"/>
  <c r="B413" i="9" s="1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J4" i="3"/>
  <c r="J3" i="3"/>
  <c r="K24" i="2"/>
  <c r="B76" i="9" s="1"/>
  <c r="J24" i="2"/>
  <c r="B75" i="9" s="1"/>
  <c r="I24" i="2"/>
  <c r="B74" i="9" s="1"/>
  <c r="H24" i="2"/>
  <c r="B73" i="9" s="1"/>
  <c r="G24" i="2"/>
  <c r="B72" i="9" s="1"/>
  <c r="F24" i="2"/>
  <c r="B71" i="9" s="1"/>
  <c r="E24" i="2"/>
  <c r="B70" i="9" s="1"/>
  <c r="D24" i="2"/>
  <c r="B69" i="9" s="1"/>
  <c r="K23" i="2"/>
  <c r="B65" i="9" s="1"/>
  <c r="J23" i="2"/>
  <c r="B64" i="9" s="1"/>
  <c r="I23" i="2"/>
  <c r="B63" i="9" s="1"/>
  <c r="H23" i="2"/>
  <c r="B62" i="9" s="1"/>
  <c r="G23" i="2"/>
  <c r="B61" i="9" s="1"/>
  <c r="F23" i="2"/>
  <c r="B60" i="9" s="1"/>
  <c r="E23" i="2"/>
  <c r="B59" i="9" s="1"/>
  <c r="D23" i="2"/>
  <c r="B58" i="9" s="1"/>
  <c r="K22" i="2"/>
  <c r="B54" i="9" s="1"/>
  <c r="J22" i="2"/>
  <c r="B53" i="9" s="1"/>
  <c r="I22" i="2"/>
  <c r="B52" i="9" s="1"/>
  <c r="H22" i="2"/>
  <c r="B51" i="9" s="1"/>
  <c r="G22" i="2"/>
  <c r="B50" i="9" s="1"/>
  <c r="F22" i="2"/>
  <c r="B49" i="9" s="1"/>
  <c r="E22" i="2"/>
  <c r="B48" i="9" s="1"/>
  <c r="D22" i="2"/>
  <c r="B47" i="9" s="1"/>
  <c r="K21" i="2"/>
  <c r="B43" i="9" s="1"/>
  <c r="J21" i="2"/>
  <c r="B42" i="9" s="1"/>
  <c r="I21" i="2"/>
  <c r="B41" i="9" s="1"/>
  <c r="H21" i="2"/>
  <c r="B40" i="9" s="1"/>
  <c r="G21" i="2"/>
  <c r="B39" i="9" s="1"/>
  <c r="F21" i="2"/>
  <c r="B38" i="9" s="1"/>
  <c r="E21" i="2"/>
  <c r="B37" i="9" s="1"/>
  <c r="D21" i="2"/>
  <c r="B36" i="9" s="1"/>
  <c r="K20" i="2"/>
  <c r="B32" i="9" s="1"/>
  <c r="J20" i="2"/>
  <c r="B31" i="9" s="1"/>
  <c r="I20" i="2"/>
  <c r="B30" i="9" s="1"/>
  <c r="H20" i="2"/>
  <c r="B29" i="9" s="1"/>
  <c r="G20" i="2"/>
  <c r="B28" i="9" s="1"/>
  <c r="F20" i="2"/>
  <c r="B27" i="9" s="1"/>
  <c r="E20" i="2"/>
  <c r="B26" i="9" s="1"/>
  <c r="D20" i="2"/>
  <c r="B25" i="9" s="1"/>
  <c r="K19" i="2"/>
  <c r="B21" i="9" s="1"/>
  <c r="J19" i="2"/>
  <c r="B20" i="9" s="1"/>
  <c r="I19" i="2"/>
  <c r="B19" i="9" s="1"/>
  <c r="H19" i="2"/>
  <c r="B18" i="9" s="1"/>
  <c r="G19" i="2"/>
  <c r="B17" i="9" s="1"/>
  <c r="F19" i="2"/>
  <c r="B16" i="9" s="1"/>
  <c r="E19" i="2"/>
  <c r="B15" i="9" s="1"/>
  <c r="D19" i="2"/>
  <c r="B14" i="9" s="1"/>
  <c r="H15" i="2"/>
  <c r="D15" i="2"/>
  <c r="B14" i="2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T112" i="11"/>
  <c r="R111" i="11"/>
  <c r="T26" i="8"/>
  <c r="B654" i="9" s="1"/>
  <c r="T24" i="8"/>
  <c r="B636" i="9" s="1"/>
  <c r="R110" i="11"/>
  <c r="T111" i="11"/>
  <c r="S111" i="11"/>
  <c r="S110" i="11"/>
  <c r="R109" i="11"/>
  <c r="T110" i="11"/>
  <c r="S109" i="11"/>
  <c r="R108" i="11"/>
  <c r="T109" i="11"/>
  <c r="S108" i="11"/>
  <c r="T108" i="11"/>
  <c r="R107" i="11"/>
  <c r="T107" i="11"/>
  <c r="S107" i="11"/>
  <c r="R106" i="11"/>
  <c r="S106" i="11"/>
  <c r="T106" i="11"/>
  <c r="R105" i="11"/>
  <c r="T105" i="11"/>
  <c r="S105" i="11"/>
  <c r="R104" i="11"/>
  <c r="S104" i="11"/>
  <c r="R103" i="11"/>
  <c r="T104" i="11"/>
  <c r="R102" i="11"/>
  <c r="T103" i="11"/>
  <c r="S103" i="11"/>
  <c r="S102" i="11"/>
  <c r="R101" i="11"/>
  <c r="T102" i="11"/>
  <c r="S101" i="11"/>
  <c r="R100" i="11"/>
  <c r="T101" i="11"/>
  <c r="S100" i="11"/>
  <c r="T100" i="11"/>
  <c r="R99" i="11"/>
  <c r="T99" i="11"/>
  <c r="S99" i="11"/>
  <c r="R98" i="11"/>
  <c r="T98" i="11"/>
  <c r="R97" i="11"/>
  <c r="S98" i="11"/>
  <c r="S97" i="11"/>
  <c r="T97" i="11"/>
  <c r="R96" i="11"/>
  <c r="T96" i="11"/>
  <c r="R95" i="11"/>
  <c r="S96" i="11"/>
  <c r="S95" i="11"/>
  <c r="T95" i="11"/>
  <c r="R94" i="11"/>
  <c r="T94" i="11"/>
  <c r="R93" i="11"/>
  <c r="S94" i="11"/>
  <c r="S93" i="11"/>
  <c r="T93" i="11"/>
  <c r="R92" i="11"/>
  <c r="T92" i="11"/>
  <c r="R91" i="11"/>
  <c r="S92" i="11"/>
  <c r="S91" i="11"/>
  <c r="T91" i="11"/>
  <c r="R90" i="11"/>
  <c r="T90" i="11"/>
  <c r="R89" i="11"/>
  <c r="S90" i="11"/>
  <c r="S89" i="11"/>
  <c r="T89" i="11"/>
  <c r="R88" i="11"/>
  <c r="T88" i="11"/>
  <c r="R87" i="11"/>
  <c r="S88" i="11"/>
  <c r="S87" i="11"/>
  <c r="T87" i="11"/>
  <c r="R86" i="11"/>
  <c r="T86" i="11"/>
  <c r="R85" i="11"/>
  <c r="S86" i="11"/>
  <c r="S85" i="11"/>
  <c r="T85" i="11"/>
  <c r="R84" i="11"/>
  <c r="T84" i="11"/>
  <c r="R83" i="11"/>
  <c r="S84" i="11"/>
  <c r="S83" i="11"/>
  <c r="T83" i="11"/>
  <c r="R82" i="11"/>
  <c r="T82" i="11"/>
  <c r="R81" i="11"/>
  <c r="S82" i="11"/>
  <c r="S81" i="11"/>
  <c r="T81" i="11"/>
  <c r="R80" i="11"/>
  <c r="T80" i="11"/>
  <c r="R79" i="11"/>
  <c r="S80" i="11"/>
  <c r="S79" i="11"/>
  <c r="T79" i="11"/>
  <c r="R78" i="11"/>
  <c r="T78" i="11"/>
  <c r="R77" i="11"/>
  <c r="S78" i="11"/>
  <c r="S77" i="11"/>
  <c r="T77" i="11"/>
  <c r="R76" i="11"/>
  <c r="T76" i="11"/>
  <c r="R75" i="11"/>
  <c r="S76" i="11"/>
  <c r="S75" i="11"/>
  <c r="T75" i="11"/>
  <c r="R74" i="11"/>
  <c r="T74" i="11"/>
  <c r="R73" i="11"/>
  <c r="S74" i="11"/>
  <c r="S73" i="11"/>
  <c r="T73" i="11"/>
  <c r="R72" i="11"/>
  <c r="T72" i="11"/>
  <c r="R71" i="11"/>
  <c r="S72" i="11"/>
  <c r="S71" i="11"/>
  <c r="T71" i="11"/>
  <c r="R70" i="11"/>
  <c r="T70" i="11"/>
  <c r="R69" i="11"/>
  <c r="S70" i="11"/>
  <c r="S69" i="11"/>
  <c r="T69" i="11"/>
  <c r="R68" i="11"/>
  <c r="T68" i="11"/>
  <c r="R67" i="11"/>
  <c r="S68" i="11"/>
  <c r="S67" i="11"/>
  <c r="R66" i="11"/>
  <c r="T67" i="11"/>
  <c r="T66" i="11"/>
  <c r="R65" i="11"/>
  <c r="S66" i="11"/>
  <c r="S65" i="11"/>
  <c r="T65" i="11"/>
  <c r="R64" i="11"/>
  <c r="T64" i="11"/>
  <c r="R63" i="11"/>
  <c r="S64" i="11"/>
  <c r="S63" i="11"/>
  <c r="T63" i="11"/>
  <c r="R62" i="11"/>
  <c r="T62" i="11"/>
  <c r="R61" i="11"/>
  <c r="S62" i="11"/>
  <c r="S61" i="11"/>
  <c r="T61" i="11"/>
  <c r="R60" i="11"/>
  <c r="T60" i="11"/>
  <c r="R59" i="11"/>
  <c r="S60" i="11"/>
  <c r="S59" i="11"/>
  <c r="R58" i="11"/>
  <c r="T59" i="11"/>
  <c r="T58" i="11"/>
  <c r="R57" i="11"/>
  <c r="S58" i="11"/>
  <c r="S57" i="11"/>
  <c r="R56" i="11"/>
  <c r="T57" i="11"/>
  <c r="T56" i="11"/>
  <c r="R55" i="11"/>
  <c r="S56" i="11"/>
  <c r="S55" i="11"/>
  <c r="T55" i="11"/>
  <c r="R54" i="11"/>
  <c r="T54" i="11"/>
  <c r="R53" i="11"/>
  <c r="S54" i="11"/>
  <c r="S53" i="11"/>
  <c r="T53" i="11"/>
  <c r="R52" i="11"/>
  <c r="T52" i="11"/>
  <c r="R51" i="11"/>
  <c r="S52" i="11"/>
  <c r="S51" i="11"/>
  <c r="T51" i="11"/>
  <c r="R50" i="11"/>
  <c r="T50" i="11"/>
  <c r="R49" i="11"/>
  <c r="S50" i="11"/>
  <c r="T49" i="11"/>
  <c r="S49" i="11"/>
  <c r="R48" i="11"/>
  <c r="T48" i="11"/>
  <c r="R47" i="11"/>
  <c r="S48" i="11"/>
  <c r="R46" i="11"/>
  <c r="T47" i="11"/>
  <c r="S47" i="11"/>
  <c r="T46" i="11"/>
  <c r="R45" i="11"/>
  <c r="S46" i="11"/>
  <c r="S45" i="11"/>
  <c r="R44" i="11"/>
  <c r="T45" i="11"/>
  <c r="T44" i="11"/>
  <c r="R43" i="11"/>
  <c r="S44" i="11"/>
  <c r="T43" i="11"/>
  <c r="S43" i="11"/>
  <c r="R42" i="11"/>
  <c r="T42" i="11"/>
  <c r="R41" i="11"/>
  <c r="S42" i="11"/>
  <c r="R40" i="11"/>
  <c r="T41" i="11"/>
  <c r="S41" i="11"/>
  <c r="T40" i="11"/>
  <c r="R39" i="11"/>
  <c r="S40" i="11"/>
  <c r="R38" i="11"/>
  <c r="T39" i="11"/>
  <c r="S39" i="11"/>
  <c r="T38" i="11"/>
  <c r="R37" i="11"/>
  <c r="S38" i="11"/>
  <c r="S37" i="11"/>
  <c r="T37" i="11"/>
  <c r="R36" i="11"/>
  <c r="T36" i="11"/>
  <c r="R35" i="11"/>
  <c r="S36" i="11"/>
  <c r="T35" i="11"/>
  <c r="S35" i="11"/>
  <c r="R34" i="11"/>
  <c r="T34" i="11"/>
  <c r="R33" i="11"/>
  <c r="S34" i="11"/>
  <c r="R32" i="11"/>
  <c r="T33" i="11"/>
  <c r="S33" i="11"/>
  <c r="T32" i="11"/>
  <c r="R31" i="11"/>
  <c r="S32" i="11"/>
  <c r="R30" i="11"/>
  <c r="S31" i="11"/>
  <c r="T31" i="11"/>
  <c r="T30" i="11"/>
  <c r="R29" i="11"/>
  <c r="S30" i="11"/>
  <c r="S29" i="11"/>
  <c r="T29" i="11"/>
  <c r="R28" i="11"/>
  <c r="T28" i="11"/>
  <c r="R27" i="11"/>
  <c r="S28" i="11"/>
  <c r="T27" i="11"/>
  <c r="S27" i="11"/>
  <c r="R26" i="11"/>
  <c r="T26" i="11"/>
  <c r="R25" i="11"/>
  <c r="S26" i="11"/>
  <c r="R24" i="11"/>
  <c r="T25" i="11"/>
  <c r="S25" i="11"/>
  <c r="T24" i="11"/>
  <c r="R23" i="11"/>
  <c r="S24" i="11"/>
  <c r="R22" i="11"/>
  <c r="S23" i="11"/>
  <c r="T23" i="11"/>
  <c r="T22" i="11"/>
  <c r="R21" i="11"/>
  <c r="S22" i="11"/>
  <c r="S21" i="11"/>
  <c r="T21" i="11"/>
  <c r="R20" i="11"/>
  <c r="T20" i="11"/>
  <c r="S20" i="11"/>
  <c r="R19" i="11"/>
  <c r="T19" i="11"/>
  <c r="R18" i="11"/>
  <c r="S19" i="11"/>
  <c r="S18" i="11"/>
  <c r="T18" i="11"/>
  <c r="R17" i="11"/>
  <c r="T17" i="11"/>
  <c r="R16" i="11"/>
  <c r="S17" i="11"/>
  <c r="S16" i="11"/>
  <c r="R15" i="11"/>
  <c r="T16" i="11"/>
  <c r="T15" i="11"/>
  <c r="R14" i="11"/>
  <c r="S15" i="11"/>
  <c r="S14" i="11"/>
  <c r="T14" i="11"/>
  <c r="R13" i="11"/>
  <c r="T13" i="11"/>
  <c r="R12" i="11"/>
  <c r="S13" i="11"/>
  <c r="S12" i="11"/>
  <c r="T12" i="11"/>
  <c r="R11" i="11"/>
  <c r="T11" i="11"/>
  <c r="R10" i="11"/>
  <c r="S11" i="11"/>
  <c r="S10" i="11"/>
  <c r="R9" i="11"/>
  <c r="T10" i="11"/>
  <c r="T9" i="11"/>
  <c r="R8" i="11"/>
  <c r="S9" i="11"/>
  <c r="S8" i="11"/>
  <c r="R7" i="11"/>
  <c r="T8" i="11"/>
  <c r="T7" i="11"/>
  <c r="R6" i="11"/>
  <c r="S7" i="11"/>
  <c r="S6" i="11"/>
  <c r="T6" i="11"/>
  <c r="R5" i="11"/>
  <c r="T5" i="11"/>
  <c r="R4" i="11"/>
  <c r="S5" i="11"/>
  <c r="S4" i="11"/>
  <c r="T4" i="11"/>
  <c r="R3" i="11"/>
  <c r="T3" i="11"/>
  <c r="S3" i="11"/>
  <c r="B109" i="9" l="1"/>
  <c r="Y13" i="3"/>
  <c r="B141" i="9"/>
  <c r="Y17" i="3"/>
  <c r="B173" i="9"/>
  <c r="Y21" i="3"/>
  <c r="B205" i="9"/>
  <c r="Y25" i="3"/>
  <c r="B117" i="9"/>
  <c r="Y14" i="3"/>
  <c r="B149" i="9"/>
  <c r="Y18" i="3"/>
  <c r="B181" i="9"/>
  <c r="Y22" i="3"/>
  <c r="B93" i="9"/>
  <c r="Y11" i="3"/>
  <c r="B125" i="9"/>
  <c r="Y15" i="3"/>
  <c r="B157" i="9"/>
  <c r="Y19" i="3"/>
  <c r="B189" i="9"/>
  <c r="Y23" i="3"/>
  <c r="B101" i="9"/>
  <c r="Y12" i="3"/>
  <c r="B133" i="9"/>
  <c r="Y16" i="3"/>
  <c r="B165" i="9"/>
  <c r="Y20" i="3"/>
  <c r="B197" i="9"/>
  <c r="Y24" i="3"/>
  <c r="B85" i="9"/>
  <c r="Y10" i="3"/>
  <c r="B317" i="9"/>
  <c r="L14" i="3"/>
  <c r="B349" i="9"/>
  <c r="L18" i="3"/>
  <c r="B381" i="9"/>
  <c r="L22" i="3"/>
  <c r="B293" i="9"/>
  <c r="L11" i="3"/>
  <c r="B325" i="9"/>
  <c r="L15" i="3"/>
  <c r="B357" i="9"/>
  <c r="L19" i="3"/>
  <c r="B389" i="9"/>
  <c r="L23" i="3"/>
  <c r="B301" i="9"/>
  <c r="L12" i="3"/>
  <c r="B333" i="9"/>
  <c r="L16" i="3"/>
  <c r="B365" i="9"/>
  <c r="L20" i="3"/>
  <c r="B397" i="9"/>
  <c r="L24" i="3"/>
  <c r="B309" i="9"/>
  <c r="L13" i="3"/>
  <c r="B341" i="9"/>
  <c r="L17" i="3"/>
  <c r="B373" i="9"/>
  <c r="L21" i="3"/>
  <c r="B405" i="9"/>
  <c r="L25" i="3"/>
  <c r="B285" i="9"/>
  <c r="L10" i="3"/>
  <c r="B409" i="9"/>
  <c r="B13" i="10"/>
  <c r="B385" i="9"/>
  <c r="B11" i="10"/>
  <c r="B393" i="9"/>
  <c r="B12" i="10"/>
  <c r="B764" i="9"/>
  <c r="M9" i="10"/>
  <c r="B763" i="9"/>
  <c r="I19" i="10"/>
  <c r="N9" i="10"/>
  <c r="B286" i="9"/>
  <c r="K10" i="3"/>
  <c r="B430" i="9"/>
  <c r="K28" i="3"/>
  <c r="B334" i="9"/>
  <c r="K16" i="3"/>
  <c r="B302" i="9"/>
  <c r="K12" i="3"/>
  <c r="B470" i="9"/>
  <c r="K33" i="3"/>
  <c r="B438" i="9"/>
  <c r="K29" i="3"/>
  <c r="B406" i="9"/>
  <c r="K25" i="3"/>
  <c r="B374" i="9"/>
  <c r="K21" i="3"/>
  <c r="B342" i="9"/>
  <c r="K17" i="3"/>
  <c r="B310" i="9"/>
  <c r="K13" i="3"/>
  <c r="B454" i="9"/>
  <c r="K31" i="3"/>
  <c r="B422" i="9"/>
  <c r="K27" i="3"/>
  <c r="B390" i="9"/>
  <c r="K23" i="3"/>
  <c r="B358" i="9"/>
  <c r="K19" i="3"/>
  <c r="B326" i="9"/>
  <c r="K15" i="3"/>
  <c r="B294" i="9"/>
  <c r="K11" i="3"/>
  <c r="B462" i="9"/>
  <c r="K32" i="3"/>
  <c r="B398" i="9"/>
  <c r="K24" i="3"/>
  <c r="B366" i="9"/>
  <c r="K20" i="3"/>
  <c r="B446" i="9"/>
  <c r="K30" i="3"/>
  <c r="B414" i="9"/>
  <c r="K26" i="3"/>
  <c r="B382" i="9"/>
  <c r="K22" i="3"/>
  <c r="B350" i="9"/>
  <c r="K18" i="3"/>
  <c r="B318" i="9"/>
  <c r="K14" i="3"/>
  <c r="B478" i="9"/>
  <c r="K34" i="3"/>
  <c r="B810" i="9"/>
  <c r="E11" i="12"/>
  <c r="T6" i="12" s="1"/>
  <c r="I11" i="12"/>
  <c r="K11" i="12" s="1"/>
  <c r="B795" i="9" s="1"/>
  <c r="F11" i="12"/>
  <c r="H11" i="12"/>
  <c r="E19" i="12"/>
  <c r="U7" i="12" s="1"/>
  <c r="V7" i="12" s="1"/>
  <c r="J19" i="12"/>
  <c r="H19" i="12"/>
  <c r="B817" i="9"/>
  <c r="J15" i="12"/>
  <c r="H15" i="12"/>
  <c r="G15" i="12"/>
  <c r="E15" i="12"/>
  <c r="T8" i="12" s="1"/>
  <c r="B813" i="9"/>
  <c r="I35" i="12"/>
  <c r="K35" i="12" s="1"/>
  <c r="B849" i="9" s="1"/>
  <c r="E35" i="12"/>
  <c r="T15" i="12" s="1"/>
  <c r="H35" i="12"/>
  <c r="J35" i="12" s="1"/>
  <c r="F35" i="12"/>
  <c r="B863" i="9"/>
  <c r="H43" i="12"/>
  <c r="E43" i="12"/>
  <c r="U16" i="12" s="1"/>
  <c r="V16" i="12" s="1"/>
  <c r="J43" i="12"/>
  <c r="B871" i="9"/>
  <c r="E39" i="12"/>
  <c r="T17" i="12" s="1"/>
  <c r="J39" i="12"/>
  <c r="H39" i="12"/>
  <c r="B867" i="9"/>
  <c r="H21" i="12"/>
  <c r="E21" i="12"/>
  <c r="U6" i="12" s="1"/>
  <c r="V6" i="12" s="1"/>
  <c r="J21" i="12"/>
  <c r="B819" i="9"/>
  <c r="F17" i="12"/>
  <c r="I17" i="12"/>
  <c r="K17" i="12" s="1"/>
  <c r="B796" i="9" s="1"/>
  <c r="H17" i="12"/>
  <c r="J17" i="12" s="1"/>
  <c r="E17" i="12"/>
  <c r="U8" i="12" s="1"/>
  <c r="V8" i="12" s="1"/>
  <c r="B815" i="9"/>
  <c r="G13" i="12"/>
  <c r="E13" i="12"/>
  <c r="T7" i="12" s="1"/>
  <c r="J13" i="12"/>
  <c r="H13" i="12"/>
  <c r="B811" i="9"/>
  <c r="H45" i="12"/>
  <c r="E45" i="12"/>
  <c r="U15" i="12" s="1"/>
  <c r="V15" i="12" s="1"/>
  <c r="J45" i="12"/>
  <c r="B873" i="9"/>
  <c r="F41" i="12"/>
  <c r="I41" i="12"/>
  <c r="K41" i="12" s="1"/>
  <c r="B850" i="9" s="1"/>
  <c r="E41" i="12"/>
  <c r="U17" i="12" s="1"/>
  <c r="V17" i="12" s="1"/>
  <c r="H41" i="12"/>
  <c r="J41" i="12" s="1"/>
  <c r="B869" i="9"/>
  <c r="E37" i="12"/>
  <c r="T16" i="12" s="1"/>
  <c r="J37" i="12"/>
  <c r="H37" i="12"/>
  <c r="B865" i="9"/>
  <c r="H15" i="8"/>
  <c r="H32" i="8"/>
  <c r="H25" i="8"/>
  <c r="U25" i="8"/>
  <c r="H27" i="8"/>
  <c r="T22" i="8"/>
  <c r="B618" i="9" s="1"/>
  <c r="T17" i="8"/>
  <c r="H30" i="8"/>
  <c r="H23" i="8"/>
  <c r="H16" i="8"/>
  <c r="T21" i="8"/>
  <c r="T18" i="8"/>
  <c r="B582" i="9" s="1"/>
  <c r="U23" i="8"/>
  <c r="U27" i="8"/>
  <c r="H26" i="8"/>
  <c r="U49" i="8"/>
  <c r="U45" i="8"/>
  <c r="U24" i="8"/>
  <c r="H31" i="8"/>
  <c r="H28" i="8"/>
  <c r="H22" i="8"/>
  <c r="U22" i="8"/>
  <c r="T19" i="8"/>
  <c r="T16" i="8"/>
  <c r="U48" i="8"/>
  <c r="U44" i="8"/>
  <c r="U51" i="8"/>
  <c r="U47" i="8"/>
  <c r="U43" i="8"/>
  <c r="U26" i="8"/>
  <c r="H24" i="8"/>
  <c r="H18" i="8"/>
  <c r="U50" i="8"/>
  <c r="T20" i="8"/>
  <c r="T15" i="8"/>
  <c r="U46" i="8"/>
  <c r="U42" i="8"/>
  <c r="J11" i="12" l="1"/>
  <c r="G11" i="12"/>
  <c r="E11" i="10"/>
  <c r="F11" i="10"/>
  <c r="H21" i="10"/>
  <c r="B771" i="9" s="1"/>
  <c r="E12" i="10"/>
  <c r="F12" i="10"/>
  <c r="H22" i="10"/>
  <c r="B776" i="9" s="1"/>
  <c r="E13" i="10"/>
  <c r="F13" i="10"/>
  <c r="H23" i="10"/>
  <c r="B781" i="9" s="1"/>
  <c r="B762" i="9"/>
  <c r="O9" i="10"/>
  <c r="U18" i="8"/>
  <c r="B609" i="9"/>
  <c r="U21" i="8"/>
  <c r="B573" i="9"/>
  <c r="U17" i="8"/>
  <c r="B591" i="9"/>
  <c r="U19" i="8"/>
  <c r="B600" i="9"/>
  <c r="U20" i="8"/>
  <c r="B555" i="9"/>
  <c r="U15" i="8"/>
  <c r="B564" i="9"/>
  <c r="U16" i="8"/>
</calcChain>
</file>

<file path=xl/comments1.xml><?xml version="1.0" encoding="utf-8"?>
<comments xmlns="http://schemas.openxmlformats.org/spreadsheetml/2006/main">
  <authors>
    <author>Samuel Kuttner</author>
    <author>Universitetssykehuset Nord-Norge HF</author>
  </authors>
  <commentList>
    <comment ref="F3" authorId="0">
      <text>
        <r>
          <rPr>
            <b/>
            <sz val="8"/>
            <color indexed="81"/>
            <rFont val="Tahoma"/>
            <family val="2"/>
          </rPr>
          <t>Fokus-Kammer (Unfors)-avstand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Kryss av hvis kun mAs instilling mulig.</t>
        </r>
      </text>
    </comment>
    <comment ref="R8" authorId="0">
      <text>
        <r>
          <rPr>
            <b/>
            <sz val="8"/>
            <color indexed="81"/>
            <rFont val="Tahoma"/>
            <family val="2"/>
          </rPr>
          <t>Kryss av hvis kun mAs instilling mulig.</t>
        </r>
      </text>
    </comment>
    <comment ref="B14" authorId="1">
      <text>
        <r>
          <rPr>
            <b/>
            <sz val="8"/>
            <color indexed="81"/>
            <rFont val="Tahoma"/>
            <family val="2"/>
          </rPr>
          <t>Beregning av variasjonskoeffisient. Hold kV konstant her!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1">
      <text>
        <r>
          <rPr>
            <b/>
            <sz val="8"/>
            <color indexed="81"/>
            <rFont val="Tahoma"/>
            <family val="2"/>
          </rPr>
          <t>Beregning av variasjonskoeffisient. Hold kV konstant her!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Kuttner</author>
    <author>Samuel Kuttner</author>
    <author>Universitetssykehuset Nord-Norge HF</author>
  </authors>
  <commentList>
    <comment ref="L5" authorId="0">
      <text>
        <r>
          <rPr>
            <b/>
            <sz val="8"/>
            <color indexed="81"/>
            <rFont val="Tahoma"/>
            <family val="2"/>
          </rPr>
          <t>Finfokus = "FF"
Grovfokus = "GF"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Mikrofokus = "MF"</t>
        </r>
      </text>
    </comment>
    <comment ref="A7" authorId="1">
      <text>
        <r>
          <rPr>
            <b/>
            <sz val="8"/>
            <color indexed="81"/>
            <rFont val="Tahoma"/>
            <family val="2"/>
          </rPr>
          <t>1 = ikke raster
2 = raster med ukjent faktor
ellers, bruk rasterfaktorn!</t>
        </r>
      </text>
    </comment>
    <comment ref="J7" authorId="1">
      <text>
        <r>
          <rPr>
            <b/>
            <sz val="8"/>
            <color indexed="81"/>
            <rFont val="Tahoma"/>
            <family val="2"/>
          </rPr>
          <t>1 = ikke raster
2 = raster med ukjent faktor
ellers, bruk rasterfaktorn!</t>
        </r>
      </text>
    </comment>
    <comment ref="A8" authorId="1">
      <text>
        <r>
          <rPr>
            <b/>
            <sz val="8"/>
            <color indexed="81"/>
            <rFont val="Tahoma"/>
            <family val="2"/>
          </rPr>
          <t>Fokus-Kammer (Unfors)-avstand</t>
        </r>
      </text>
    </comment>
    <comment ref="J8" authorId="1">
      <text>
        <r>
          <rPr>
            <b/>
            <sz val="8"/>
            <color indexed="81"/>
            <rFont val="Tahoma"/>
            <family val="2"/>
          </rPr>
          <t>Fokus-Kammer (Unfors)-avstand</t>
        </r>
      </text>
    </comment>
    <comment ref="A9" authorId="1">
      <text>
        <r>
          <rPr>
            <b/>
            <sz val="8"/>
            <color indexed="81"/>
            <rFont val="Tahoma"/>
            <family val="2"/>
          </rPr>
          <t>Fokus-apparatdetektor-avstand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9" authorId="1">
      <text>
        <r>
          <rPr>
            <b/>
            <sz val="8"/>
            <color indexed="81"/>
            <rFont val="Tahoma"/>
            <family val="2"/>
          </rPr>
          <t>Fokus-apparatdetektor-avstand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10" authorId="1">
      <text>
        <r>
          <rPr>
            <b/>
            <sz val="8"/>
            <color indexed="81"/>
            <rFont val="Tahoma"/>
            <family val="2"/>
          </rPr>
          <t>Fokus-apparatdetektor-avstand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14" authorId="1">
      <text>
        <r>
          <rPr>
            <b/>
            <sz val="8"/>
            <color indexed="81"/>
            <rFont val="Tahoma"/>
            <family val="2"/>
          </rPr>
          <t>Kryss av her hvis aktuell exponering/filming er brukt på aktuell rad. Da brukes andre toleransegrenser på doserate til bildeforsterker.</t>
        </r>
      </text>
    </comment>
    <comment ref="E19" authorId="2">
      <text>
        <r>
          <rPr>
            <b/>
            <sz val="8"/>
            <color indexed="81"/>
            <rFont val="Tahoma"/>
            <family val="2"/>
          </rPr>
          <t>Beregning av variasjonskoeffisient. Hold kV konstant her!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32" authorId="0">
      <text>
        <r>
          <rPr>
            <b/>
            <sz val="8"/>
            <color indexed="81"/>
            <rFont val="Tahoma"/>
            <family val="2"/>
          </rPr>
          <t>Finfokus = "FF"
Grovfokus = "GF"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Mikrofokus = "MF"</t>
        </r>
      </text>
    </comment>
    <comment ref="J34" authorId="1">
      <text>
        <r>
          <rPr>
            <b/>
            <sz val="8"/>
            <color indexed="81"/>
            <rFont val="Tahoma"/>
            <family val="2"/>
          </rPr>
          <t>Fokus-Kammer (Unfors)-avstand</t>
        </r>
      </text>
    </comment>
    <comment ref="J35" authorId="1">
      <text>
        <r>
          <rPr>
            <b/>
            <sz val="8"/>
            <color indexed="81"/>
            <rFont val="Tahoma"/>
            <family val="2"/>
          </rPr>
          <t>Minste mulike fokus-hud-avstand. Settes til 30 cm fra overflaten på bildeforsterkeren på C-buer hvor det ikke er bord eller på C-buer hvor laterale projeksjoner er mulige. (AAPM 74)</t>
        </r>
      </text>
    </comment>
    <comment ref="J36" authorId="1">
      <text>
        <r>
          <rPr>
            <b/>
            <sz val="8"/>
            <color indexed="81"/>
            <rFont val="Tahoma"/>
            <family val="2"/>
          </rPr>
          <t>Fokus-apparatdetektor-avstand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41" authorId="1">
      <text>
        <r>
          <rPr>
            <b/>
            <sz val="8"/>
            <color indexed="81"/>
            <rFont val="Tahoma"/>
            <family val="2"/>
          </rPr>
          <t>Kryss av her hvis aktuell exponering/filming er brukt på aktuell rad. Da brukes andre toleransegrenser på doserate til bildeforsterker.</t>
        </r>
      </text>
    </comment>
  </commentList>
</comments>
</file>

<file path=xl/comments3.xml><?xml version="1.0" encoding="utf-8"?>
<comments xmlns="http://schemas.openxmlformats.org/spreadsheetml/2006/main">
  <authors>
    <author>Samuel Kuttner</author>
  </authors>
  <commentList>
    <comment ref="E4" authorId="0">
      <text>
        <r>
          <rPr>
            <b/>
            <sz val="8"/>
            <color indexed="81"/>
            <rFont val="Tahoma"/>
            <family val="2"/>
          </rPr>
          <t>Fokus apparat-detektor-avstand</t>
        </r>
      </text>
    </comment>
    <comment ref="I6" authorId="0">
      <text>
        <r>
          <rPr>
            <b/>
            <sz val="8"/>
            <color indexed="81"/>
            <rFont val="Tahoma"/>
            <family val="2"/>
          </rPr>
          <t>Innstilling på pasientstørrelse. For eksempel "small", "normal", "large".</t>
        </r>
      </text>
    </comment>
    <comment ref="E28" authorId="0">
      <text>
        <r>
          <rPr>
            <b/>
            <sz val="8"/>
            <color indexed="81"/>
            <rFont val="Tahoma"/>
            <family val="2"/>
          </rPr>
          <t>Fokus apparat-detektor-avstand</t>
        </r>
      </text>
    </comment>
    <comment ref="I30" authorId="0">
      <text>
        <r>
          <rPr>
            <b/>
            <sz val="8"/>
            <color indexed="81"/>
            <rFont val="Tahoma"/>
            <family val="2"/>
          </rPr>
          <t>Innstilling på pasientstørrelse. For eksempel "small", "normal", "large".</t>
        </r>
      </text>
    </comment>
  </commentList>
</comments>
</file>

<file path=xl/comments4.xml><?xml version="1.0" encoding="utf-8"?>
<comments xmlns="http://schemas.openxmlformats.org/spreadsheetml/2006/main">
  <authors>
    <author>Kuttner</author>
    <author>Samuel Kuttner</author>
  </authors>
  <commentList>
    <comment ref="C6" authorId="0">
      <text>
        <r>
          <rPr>
            <b/>
            <sz val="8"/>
            <color indexed="81"/>
            <rFont val="Tahoma"/>
            <family val="2"/>
          </rPr>
          <t>Gjennomstrekete verdier betyr extrapolasjon i kalibreringsdaga. Dette rekommenderes ikke og bør brukes med forsiktighet!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6" authorId="1">
      <text>
        <r>
          <rPr>
            <sz val="8"/>
            <color indexed="81"/>
            <rFont val="Tahoma"/>
            <family val="2"/>
          </rPr>
          <t>Avlesing på apparat-DAP-meter</t>
        </r>
      </text>
    </comment>
    <comment ref="B7" authorId="1">
      <text>
        <r>
          <rPr>
            <sz val="8"/>
            <color indexed="81"/>
            <rFont val="Tahoma"/>
            <family val="2"/>
          </rPr>
          <t>1,62 &lt; HVL &lt; 6,65</t>
        </r>
      </text>
    </comment>
    <comment ref="L8" authorId="1">
      <text>
        <r>
          <rPr>
            <sz val="14"/>
            <color indexed="81"/>
            <rFont val="Tahoma"/>
            <family val="2"/>
          </rPr>
          <t>M</t>
        </r>
        <r>
          <rPr>
            <vertAlign val="subscript"/>
            <sz val="14"/>
            <color indexed="81"/>
            <rFont val="Tahoma"/>
            <family val="2"/>
          </rPr>
          <t>Q,gj.snitt</t>
        </r>
        <r>
          <rPr>
            <sz val="14"/>
            <color indexed="81"/>
            <rFont val="Tahoma"/>
            <family val="2"/>
          </rPr>
          <t>*N</t>
        </r>
        <r>
          <rPr>
            <vertAlign val="subscript"/>
            <sz val="14"/>
            <color indexed="81"/>
            <rFont val="Tahoma"/>
            <family val="2"/>
          </rPr>
          <t>KA</t>
        </r>
        <r>
          <rPr>
            <sz val="14"/>
            <color indexed="81"/>
            <rFont val="Tahoma"/>
            <family val="2"/>
          </rPr>
          <t>*k</t>
        </r>
        <r>
          <rPr>
            <vertAlign val="subscript"/>
            <sz val="14"/>
            <color indexed="81"/>
            <rFont val="Tahoma"/>
            <family val="2"/>
          </rPr>
          <t>Q</t>
        </r>
        <r>
          <rPr>
            <sz val="14"/>
            <color indexed="81"/>
            <rFont val="Tahoma"/>
            <family val="2"/>
          </rPr>
          <t>*k</t>
        </r>
        <r>
          <rPr>
            <vertAlign val="subscript"/>
            <sz val="14"/>
            <color indexed="81"/>
            <rFont val="Tahoma"/>
            <family val="2"/>
          </rPr>
          <t>TP</t>
        </r>
      </text>
    </comment>
    <comment ref="M8" authorId="1">
      <text>
        <r>
          <rPr>
            <sz val="14"/>
            <color indexed="81"/>
            <rFont val="Tahoma"/>
            <family val="2"/>
          </rPr>
          <t>M</t>
        </r>
        <r>
          <rPr>
            <vertAlign val="subscript"/>
            <sz val="14"/>
            <color indexed="81"/>
            <rFont val="Tahoma"/>
            <family val="2"/>
          </rPr>
          <t>Q,gj.snitt</t>
        </r>
        <r>
          <rPr>
            <sz val="14"/>
            <color indexed="81"/>
            <rFont val="Tahoma"/>
            <family val="2"/>
          </rPr>
          <t>*N</t>
        </r>
        <r>
          <rPr>
            <vertAlign val="subscript"/>
            <sz val="14"/>
            <color indexed="81"/>
            <rFont val="Tahoma"/>
            <family val="2"/>
          </rPr>
          <t>KA</t>
        </r>
        <r>
          <rPr>
            <sz val="14"/>
            <color indexed="81"/>
            <rFont val="Tahoma"/>
            <family val="2"/>
          </rPr>
          <t>*k</t>
        </r>
        <r>
          <rPr>
            <vertAlign val="subscript"/>
            <sz val="14"/>
            <color indexed="81"/>
            <rFont val="Tahoma"/>
            <family val="2"/>
          </rPr>
          <t>Q</t>
        </r>
        <r>
          <rPr>
            <sz val="14"/>
            <color indexed="81"/>
            <rFont val="Tahoma"/>
            <family val="2"/>
          </rPr>
          <t>*k</t>
        </r>
        <r>
          <rPr>
            <vertAlign val="subscript"/>
            <sz val="14"/>
            <color indexed="81"/>
            <rFont val="Tahoma"/>
            <family val="2"/>
          </rPr>
          <t>TP</t>
        </r>
        <r>
          <rPr>
            <sz val="14"/>
            <color indexed="81"/>
            <rFont val="Tahoma"/>
            <family val="2"/>
          </rPr>
          <t>*T</t>
        </r>
      </text>
    </comment>
    <comment ref="L16" authorId="1">
      <text>
        <r>
          <rPr>
            <sz val="8"/>
            <color indexed="81"/>
            <rFont val="Tahoma"/>
            <family val="2"/>
          </rPr>
          <t>Avlesing på apparat-DAP-meter</t>
        </r>
      </text>
    </comment>
  </commentList>
</comments>
</file>

<file path=xl/sharedStrings.xml><?xml version="1.0" encoding="utf-8"?>
<sst xmlns="http://schemas.openxmlformats.org/spreadsheetml/2006/main" count="1266" uniqueCount="1086">
  <si>
    <t>Fantom</t>
  </si>
  <si>
    <t>Fyll ut ved måling.</t>
  </si>
  <si>
    <t>Kontroll av monitorer</t>
  </si>
  <si>
    <t>Kontrollrom/Venstre monitor</t>
  </si>
  <si>
    <t>Inne på lab/Høyre monitor</t>
  </si>
  <si>
    <t>Live</t>
  </si>
  <si>
    <t>LIH</t>
  </si>
  <si>
    <t>Dosemodus</t>
  </si>
  <si>
    <t>Feltstørrelse</t>
  </si>
  <si>
    <t>Kontrast</t>
  </si>
  <si>
    <t>lp/mm</t>
  </si>
  <si>
    <t>sirkler</t>
  </si>
  <si>
    <t>lp gr.</t>
  </si>
  <si>
    <t>Kontroll:</t>
  </si>
  <si>
    <t>Look up table för lp/mm och # cirklar</t>
  </si>
  <si>
    <t>Look up table for TOR CDR</t>
  </si>
  <si>
    <t>Look up table for TOR FDR</t>
  </si>
  <si>
    <t>#grupper</t>
  </si>
  <si>
    <t>kontrast</t>
  </si>
  <si>
    <t>Bildekvalitet med Leeds fantom</t>
  </si>
  <si>
    <t>Fyll ut ved måling</t>
  </si>
  <si>
    <t>FKA [cm]</t>
  </si>
  <si>
    <t>Filter [mm Cu]</t>
  </si>
  <si>
    <t>Nominelle verdier</t>
  </si>
  <si>
    <t>Målinger</t>
  </si>
  <si>
    <t>kVp</t>
  </si>
  <si>
    <t>mA</t>
  </si>
  <si>
    <t>ms</t>
  </si>
  <si>
    <t>mAs</t>
  </si>
  <si>
    <t>Dose
[μGy]</t>
  </si>
  <si>
    <t>HVL 
[mm Al]</t>
  </si>
  <si>
    <t>Avvik</t>
  </si>
  <si>
    <t>Størrelse</t>
  </si>
  <si>
    <t>Grov-fokus</t>
  </si>
  <si>
    <t>Fin-fokus</t>
  </si>
  <si>
    <t>kV</t>
  </si>
  <si>
    <t>Pasient</t>
  </si>
  <si>
    <t>Program</t>
  </si>
  <si>
    <t>Fokus</t>
  </si>
  <si>
    <t>FF</t>
  </si>
  <si>
    <t>Rasterfaktor</t>
  </si>
  <si>
    <t>FDA [cm]</t>
  </si>
  <si>
    <t>Resultat</t>
  </si>
  <si>
    <t>Filter</t>
  </si>
  <si>
    <t>Forstørrelse</t>
  </si>
  <si>
    <t>HVL
[mm Al]</t>
  </si>
  <si>
    <t>kVp
avvik</t>
  </si>
  <si>
    <t>GF</t>
  </si>
  <si>
    <t>Internfiltrering [mm Cu]</t>
  </si>
  <si>
    <t>Aktivt kammer</t>
  </si>
  <si>
    <t>Nominelle instillinger</t>
  </si>
  <si>
    <t>Filter 
[mm Cu]</t>
  </si>
  <si>
    <t>Pulshastighet
[pps]</t>
  </si>
  <si>
    <t>Dose-
modus</t>
  </si>
  <si>
    <t>Feltstørrelse
[cm]</t>
  </si>
  <si>
    <t>Brukt
Eksp.?</t>
  </si>
  <si>
    <t>kV-nøyaktighet</t>
  </si>
  <si>
    <t>Dose til detektor</t>
  </si>
  <si>
    <t xml:space="preserve"> Doserate [mGy/s]</t>
  </si>
  <si>
    <t>Korrigert Doserate [mGy/s]</t>
  </si>
  <si>
    <t>Korrigert dose per bilde [mGy]</t>
  </si>
  <si>
    <t>FHA [cm]</t>
  </si>
  <si>
    <t>Puls-hastighet [pps]</t>
  </si>
  <si>
    <t>Dose til pasient</t>
  </si>
  <si>
    <t>1 mm Cu mellom unfors og detektor</t>
  </si>
  <si>
    <t>1 mm Cu på røret</t>
  </si>
  <si>
    <t xml:space="preserve"> </t>
  </si>
  <si>
    <t>Resultat fra kalibrering</t>
  </si>
  <si>
    <t>Fabrikat</t>
  </si>
  <si>
    <t>VacuTec</t>
  </si>
  <si>
    <t>Oppdatert 20.08.12 av khhn</t>
  </si>
  <si>
    <t>Type</t>
  </si>
  <si>
    <t>Serienr</t>
  </si>
  <si>
    <t>0800808</t>
  </si>
  <si>
    <t>Kalibreringsdato</t>
  </si>
  <si>
    <t>Kalibreringsfaktor</t>
  </si>
  <si>
    <t>Referansebetingelser</t>
  </si>
  <si>
    <t>N_ka</t>
  </si>
  <si>
    <t>N_ka,pasient</t>
  </si>
  <si>
    <t>Faktor</t>
  </si>
  <si>
    <t>Usikkerhet</t>
  </si>
  <si>
    <t>Trykk [kPa]</t>
  </si>
  <si>
    <t>Luftfuktighet [%]</t>
  </si>
  <si>
    <t>Detaljert infornasjon om kalibreringene</t>
  </si>
  <si>
    <t>Beregninger</t>
  </si>
  <si>
    <t>Q</t>
  </si>
  <si>
    <t>Tilleggsfilter [mm Al]</t>
  </si>
  <si>
    <t>HVL [mm Al]</t>
  </si>
  <si>
    <t>k_q</t>
  </si>
  <si>
    <t>Transmisjons-faktor (T)</t>
  </si>
  <si>
    <t>Inngangsfaktor N_ka * k_q</t>
  </si>
  <si>
    <t>Utgangsfaktor N_ka*k_q*T</t>
  </si>
  <si>
    <t>RQR 2</t>
  </si>
  <si>
    <t>RQR 5</t>
  </si>
  <si>
    <t>-</t>
  </si>
  <si>
    <t>RQR 8</t>
  </si>
  <si>
    <t>RQR 9</t>
  </si>
  <si>
    <t>RQR 10</t>
  </si>
  <si>
    <t>Temp [ºC]</t>
  </si>
  <si>
    <r>
      <t>Kermarate [mGycm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/s]</t>
    </r>
  </si>
  <si>
    <t>Innstillinger</t>
  </si>
  <si>
    <t>Klimatiske forhold</t>
  </si>
  <si>
    <t>Temp.</t>
  </si>
  <si>
    <t>Trykk</t>
  </si>
  <si>
    <t>Strålekvalitet</t>
  </si>
  <si>
    <t>Oppslag med hensyn til:</t>
  </si>
  <si>
    <t>HVL</t>
  </si>
  <si>
    <t>Gj.snitt</t>
  </si>
  <si>
    <t>Stdav</t>
  </si>
  <si>
    <t>Målt/
avlest</t>
  </si>
  <si>
    <t>T</t>
  </si>
  <si>
    <t>Avlesingskalkulator</t>
  </si>
  <si>
    <t>Uten bordattenuasjon</t>
  </si>
  <si>
    <t>Avlesing</t>
  </si>
  <si>
    <t>Diff</t>
  </si>
  <si>
    <r>
      <t>k</t>
    </r>
    <r>
      <rPr>
        <vertAlign val="subscript"/>
        <sz val="10"/>
        <rFont val="Arial"/>
        <family val="2"/>
      </rPr>
      <t>TP</t>
    </r>
  </si>
  <si>
    <r>
      <t>N</t>
    </r>
    <r>
      <rPr>
        <b/>
        <vertAlign val="subscript"/>
        <sz val="10"/>
        <rFont val="Arial"/>
        <family val="2"/>
      </rPr>
      <t>ka</t>
    </r>
  </si>
  <si>
    <r>
      <t>DAP uten bordattenuasjon [mGycm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]</t>
    </r>
  </si>
  <si>
    <r>
      <t>Beregninger mht. [mGycm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]</t>
    </r>
  </si>
  <si>
    <r>
      <t>Apparat-avlesinger [mGycm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]</t>
    </r>
  </si>
  <si>
    <r>
      <t>M</t>
    </r>
    <r>
      <rPr>
        <b/>
        <vertAlign val="subscript"/>
        <sz val="10"/>
        <rFont val="Arial"/>
        <family val="2"/>
      </rPr>
      <t>Q1</t>
    </r>
  </si>
  <si>
    <r>
      <t>M</t>
    </r>
    <r>
      <rPr>
        <b/>
        <vertAlign val="subscript"/>
        <sz val="10"/>
        <rFont val="Arial"/>
        <family val="2"/>
      </rPr>
      <t>Q2</t>
    </r>
  </si>
  <si>
    <r>
      <t>M</t>
    </r>
    <r>
      <rPr>
        <b/>
        <vertAlign val="subscript"/>
        <sz val="10"/>
        <rFont val="Arial"/>
        <family val="2"/>
      </rPr>
      <t>Q3</t>
    </r>
  </si>
  <si>
    <r>
      <t>A</t>
    </r>
    <r>
      <rPr>
        <b/>
        <vertAlign val="subscript"/>
        <sz val="10"/>
        <rFont val="Arial"/>
        <family val="2"/>
      </rPr>
      <t>1</t>
    </r>
  </si>
  <si>
    <r>
      <t>A</t>
    </r>
    <r>
      <rPr>
        <b/>
        <vertAlign val="subscript"/>
        <sz val="10"/>
        <rFont val="Arial"/>
        <family val="2"/>
      </rPr>
      <t>2</t>
    </r>
  </si>
  <si>
    <r>
      <t>A</t>
    </r>
    <r>
      <rPr>
        <b/>
        <vertAlign val="subscript"/>
        <sz val="10"/>
        <rFont val="Arial"/>
        <family val="2"/>
      </rPr>
      <t>3</t>
    </r>
  </si>
  <si>
    <r>
      <t>k</t>
    </r>
    <r>
      <rPr>
        <b/>
        <vertAlign val="subscript"/>
        <sz val="10"/>
        <rFont val="Arial"/>
        <family val="2"/>
      </rPr>
      <t>Q</t>
    </r>
  </si>
  <si>
    <r>
      <t>P</t>
    </r>
    <r>
      <rPr>
        <b/>
        <vertAlign val="subscript"/>
        <sz val="10"/>
        <rFont val="Arial"/>
        <family val="2"/>
      </rPr>
      <t>KA</t>
    </r>
  </si>
  <si>
    <r>
      <t>P</t>
    </r>
    <r>
      <rPr>
        <b/>
        <vertAlign val="subscript"/>
        <sz val="10"/>
        <rFont val="Arial"/>
        <family val="2"/>
      </rPr>
      <t>KA</t>
    </r>
    <r>
      <rPr>
        <b/>
        <sz val="10"/>
        <rFont val="Arial"/>
        <family val="2"/>
      </rPr>
      <t>·T</t>
    </r>
  </si>
  <si>
    <r>
      <t>Avvik i P</t>
    </r>
    <r>
      <rPr>
        <b/>
        <vertAlign val="subscript"/>
        <sz val="10"/>
        <rFont val="Arial"/>
        <family val="2"/>
      </rPr>
      <t>KA</t>
    </r>
  </si>
  <si>
    <t>Interpolasjon map kV</t>
  </si>
  <si>
    <t>Interpolasjon map HVL</t>
  </si>
  <si>
    <t>Cu
[mm]</t>
  </si>
  <si>
    <t>Kammer
nr.</t>
  </si>
  <si>
    <t>Dose [μGy]</t>
  </si>
  <si>
    <t>Variasjonskoeff.</t>
  </si>
  <si>
    <t>Gjennomsnitt</t>
  </si>
  <si>
    <t>Detektor</t>
  </si>
  <si>
    <t>Raster</t>
  </si>
  <si>
    <t>Rasterfokus [cm]</t>
  </si>
  <si>
    <t>Density</t>
  </si>
  <si>
    <t>AEK på bord</t>
  </si>
  <si>
    <t>AEK på vegg</t>
  </si>
  <si>
    <t>Stignings-tall</t>
  </si>
  <si>
    <t>Skjærings-punkt</t>
  </si>
  <si>
    <t>Leverandør</t>
  </si>
  <si>
    <t>Modell</t>
  </si>
  <si>
    <t>Dato</t>
  </si>
  <si>
    <t>Meridanr.</t>
  </si>
  <si>
    <t>Rapportnr.</t>
  </si>
  <si>
    <t>Fysikere</t>
  </si>
  <si>
    <t>manufacturer</t>
  </si>
  <si>
    <t>model</t>
  </si>
  <si>
    <t>qa_date</t>
  </si>
  <si>
    <t>serial</t>
  </si>
  <si>
    <t>system_id</t>
  </si>
  <si>
    <t>serial_num</t>
  </si>
  <si>
    <t>tqa_fka_cm</t>
  </si>
  <si>
    <t>tqa_filter_mmcu</t>
  </si>
  <si>
    <t>tqal_set_kvp_1</t>
  </si>
  <si>
    <t>tqal_set_ma_1</t>
  </si>
  <si>
    <t>tqal_set_ms_1</t>
  </si>
  <si>
    <t>tqal_set_mas_1</t>
  </si>
  <si>
    <t>tqal_meas_kvp_1</t>
  </si>
  <si>
    <t>tqal_meas_microgy_1</t>
  </si>
  <si>
    <t>tqal_meas_ms_1</t>
  </si>
  <si>
    <t>tqal_meas_hvl_mmal_1</t>
  </si>
  <si>
    <t>tqal_set_kvp_2</t>
  </si>
  <si>
    <t>tqal_set_ma_2</t>
  </si>
  <si>
    <t>tqal_set_ms_2</t>
  </si>
  <si>
    <t>tqal_set_mas_2</t>
  </si>
  <si>
    <t>tqal_meas_kvp_2</t>
  </si>
  <si>
    <t>tqal_meas_microgy_2</t>
  </si>
  <si>
    <t>tqal_meas_ms_2</t>
  </si>
  <si>
    <t>tqal_meas_hvl_mmal_2</t>
  </si>
  <si>
    <t>tqal_set_kvp_3</t>
  </si>
  <si>
    <t>tqal_set_ma_3</t>
  </si>
  <si>
    <t>tqal_set_ms_3</t>
  </si>
  <si>
    <t>tqal_set_mas_3</t>
  </si>
  <si>
    <t>tqal_meas_kvp_3</t>
  </si>
  <si>
    <t>tqal_meas_microgy_3</t>
  </si>
  <si>
    <t>tqal_meas_ms_3</t>
  </si>
  <si>
    <t>tqal_meas_hvl_mmal_3</t>
  </si>
  <si>
    <t>tqal_set_kvp_4</t>
  </si>
  <si>
    <t>tqal_set_ma_4</t>
  </si>
  <si>
    <t>tqal_set_ms_4</t>
  </si>
  <si>
    <t>tqal_set_mas_4</t>
  </si>
  <si>
    <t>tqal_meas_kvp_4</t>
  </si>
  <si>
    <t>tqal_meas_microgy_4</t>
  </si>
  <si>
    <t>tqal_meas_ms_4</t>
  </si>
  <si>
    <t>tqal_meas_hvl_mmal_4</t>
  </si>
  <si>
    <t>tqal_set_kvp_5</t>
  </si>
  <si>
    <t>tqal_set_ma_5</t>
  </si>
  <si>
    <t>tqal_set_ms_5</t>
  </si>
  <si>
    <t>tqal_set_mas_5</t>
  </si>
  <si>
    <t>tqal_meas_kvp_5</t>
  </si>
  <si>
    <t>tqal_meas_microgy_5</t>
  </si>
  <si>
    <t>tqal_meas_ms_5</t>
  </si>
  <si>
    <t>tqal_meas_hvl_mmal_5</t>
  </si>
  <si>
    <t>tqal_set_kvp_6</t>
  </si>
  <si>
    <t>tqal_set_ma_6</t>
  </si>
  <si>
    <t>tqal_set_ms_6</t>
  </si>
  <si>
    <t>tqal_set_mas_6</t>
  </si>
  <si>
    <t>tqal_meas_kvp_6</t>
  </si>
  <si>
    <t>tqal_meas_microgy_6</t>
  </si>
  <si>
    <t>tqal_meas_ms_6</t>
  </si>
  <si>
    <t>tqal_meas_hvl_mmal_6</t>
  </si>
  <si>
    <t>tqal_set_kvp_7</t>
  </si>
  <si>
    <t>tqal_set_ma_7</t>
  </si>
  <si>
    <t>tqal_set_ms_7</t>
  </si>
  <si>
    <t>tqal_set_mas_7</t>
  </si>
  <si>
    <t>tqal_meas_kvp_7</t>
  </si>
  <si>
    <t>tqal_meas_microgy_7</t>
  </si>
  <si>
    <t>tqal_meas_ms_7</t>
  </si>
  <si>
    <t>tqal_meas_hvl_mmal_7</t>
  </si>
  <si>
    <t>tqal_set_kvp_8</t>
  </si>
  <si>
    <t>tqal_set_ma_8</t>
  </si>
  <si>
    <t>tqal_set_ms_8</t>
  </si>
  <si>
    <t>tqal_set_mas_8</t>
  </si>
  <si>
    <t>tqal_meas_kvp_8</t>
  </si>
  <si>
    <t>tqal_meas_microgy_8</t>
  </si>
  <si>
    <t>tqal_meas_ms_8</t>
  </si>
  <si>
    <t>tqal_meas_hvl_mmal_8</t>
  </si>
  <si>
    <t>tqal_set_kvp_9</t>
  </si>
  <si>
    <t>tqal_set_ma_9</t>
  </si>
  <si>
    <t>tqal_set_ms_9</t>
  </si>
  <si>
    <t>tqal_set_mas_9</t>
  </si>
  <si>
    <t>tqal_meas_kvp_9</t>
  </si>
  <si>
    <t>tqal_meas_microgy_9</t>
  </si>
  <si>
    <t>tqal_meas_ms_9</t>
  </si>
  <si>
    <t>tqal_meas_hvl_mmal_9</t>
  </si>
  <si>
    <t>tqal_set_kvp_10</t>
  </si>
  <si>
    <t>tqal_set_ma_10</t>
  </si>
  <si>
    <t>tqal_set_ms_10</t>
  </si>
  <si>
    <t>tqal_set_mas_10</t>
  </si>
  <si>
    <t>tqal_meas_kvp_10</t>
  </si>
  <si>
    <t>tqal_meas_microgy_10</t>
  </si>
  <si>
    <t>tqal_meas_ms_10</t>
  </si>
  <si>
    <t>tqal_meas_hvl_mmal_10</t>
  </si>
  <si>
    <t>tqal_set_kvp_11</t>
  </si>
  <si>
    <t>tqal_set_ma_11</t>
  </si>
  <si>
    <t>tqal_set_ms_11</t>
  </si>
  <si>
    <t>tqal_set_mas_11</t>
  </si>
  <si>
    <t>tqal_meas_kvp_11</t>
  </si>
  <si>
    <t>tqal_meas_microgy_11</t>
  </si>
  <si>
    <t>tqal_meas_ms_11</t>
  </si>
  <si>
    <t>tqal_meas_hvl_mmal_11</t>
  </si>
  <si>
    <t>tqal_set_kvp_12</t>
  </si>
  <si>
    <t>tqal_set_ma_12</t>
  </si>
  <si>
    <t>tqal_set_ms_12</t>
  </si>
  <si>
    <t>tqal_set_mas_12</t>
  </si>
  <si>
    <t>tqal_meas_kvp_12</t>
  </si>
  <si>
    <t>tqal_meas_microgy_12</t>
  </si>
  <si>
    <t>tqal_meas_ms_12</t>
  </si>
  <si>
    <t>tqal_meas_hvl_mmal_12</t>
  </si>
  <si>
    <t>tqal_set_kvp_13</t>
  </si>
  <si>
    <t>tqal_set_ma_13</t>
  </si>
  <si>
    <t>tqal_set_ms_13</t>
  </si>
  <si>
    <t>tqal_set_mas_13</t>
  </si>
  <si>
    <t>tqal_meas_kvp_13</t>
  </si>
  <si>
    <t>tqal_meas_microgy_13</t>
  </si>
  <si>
    <t>tqal_meas_ms_13</t>
  </si>
  <si>
    <t>tqal_meas_hvl_mmal_13</t>
  </si>
  <si>
    <t>tqal_set_kvp_14</t>
  </si>
  <si>
    <t>tqal_set_ma_14</t>
  </si>
  <si>
    <t>tqal_set_ms_14</t>
  </si>
  <si>
    <t>tqal_set_mas_14</t>
  </si>
  <si>
    <t>tqal_meas_kvp_14</t>
  </si>
  <si>
    <t>tqal_meas_microgy_14</t>
  </si>
  <si>
    <t>tqal_meas_ms_14</t>
  </si>
  <si>
    <t>tqal_meas_hvl_mmal_14</t>
  </si>
  <si>
    <t>tqal_set_kvp_15</t>
  </si>
  <si>
    <t>tqal_set_ma_15</t>
  </si>
  <si>
    <t>tqal_set_ms_15</t>
  </si>
  <si>
    <t>tqal_set_mas_15</t>
  </si>
  <si>
    <t>tqal_meas_kvp_15</t>
  </si>
  <si>
    <t>tqal_meas_microgy_15</t>
  </si>
  <si>
    <t>tqal_meas_ms_15</t>
  </si>
  <si>
    <t>tqal_meas_hvl_mmal_15</t>
  </si>
  <si>
    <t>tqal_set_kvp_16</t>
  </si>
  <si>
    <t>tqal_set_ma_16</t>
  </si>
  <si>
    <t>tqal_set_ms_16</t>
  </si>
  <si>
    <t>tqal_set_mas_16</t>
  </si>
  <si>
    <t>tqal_meas_kvp_16</t>
  </si>
  <si>
    <t>tqal_meas_microgy_16</t>
  </si>
  <si>
    <t>tqal_meas_ms_16</t>
  </si>
  <si>
    <t>tqal_meas_hvl_mmal_16</t>
  </si>
  <si>
    <t>tqal_set_kvp_17</t>
  </si>
  <si>
    <t>tqal_set_ma_17</t>
  </si>
  <si>
    <t>tqal_set_ms_17</t>
  </si>
  <si>
    <t>tqal_set_mas_17</t>
  </si>
  <si>
    <t>tqal_meas_kvp_17</t>
  </si>
  <si>
    <t>tqal_meas_microgy_17</t>
  </si>
  <si>
    <t>tqal_meas_ms_17</t>
  </si>
  <si>
    <t>tqal_meas_hvl_mmal_17</t>
  </si>
  <si>
    <t>tqal_set_kvp_18</t>
  </si>
  <si>
    <t>tqal_set_ma_18</t>
  </si>
  <si>
    <t>tqal_set_ms_18</t>
  </si>
  <si>
    <t>tqal_set_mas_18</t>
  </si>
  <si>
    <t>tqal_meas_kvp_18</t>
  </si>
  <si>
    <t>tqal_meas_microgy_18</t>
  </si>
  <si>
    <t>tqal_meas_ms_18</t>
  </si>
  <si>
    <t>tqal_meas_hvl_mmal_18</t>
  </si>
  <si>
    <t>tqal_set_kvp_19</t>
  </si>
  <si>
    <t>tqal_set_ma_19</t>
  </si>
  <si>
    <t>tqal_set_ms_19</t>
  </si>
  <si>
    <t>tqal_set_mas_19</t>
  </si>
  <si>
    <t>tqal_meas_kvp_19</t>
  </si>
  <si>
    <t>tqal_meas_microgy_19</t>
  </si>
  <si>
    <t>tqal_meas_ms_19</t>
  </si>
  <si>
    <t>tqal_meas_hvl_mmal_19</t>
  </si>
  <si>
    <t>tqal_set_kvp_20</t>
  </si>
  <si>
    <t>tqal_set_ma_20</t>
  </si>
  <si>
    <t>tqal_set_ms_20</t>
  </si>
  <si>
    <t>tqal_set_mas_20</t>
  </si>
  <si>
    <t>tqal_meas_kvp_20</t>
  </si>
  <si>
    <t>tqal_meas_microgy_20</t>
  </si>
  <si>
    <t>tqal_meas_ms_20</t>
  </si>
  <si>
    <t>tqal_meas_hvl_mmal_20</t>
  </si>
  <si>
    <t>tqal_set_kvp_21</t>
  </si>
  <si>
    <t>tqal_set_ma_21</t>
  </si>
  <si>
    <t>tqal_set_ms_21</t>
  </si>
  <si>
    <t>tqal_set_mas_21</t>
  </si>
  <si>
    <t>tqal_meas_kvp_21</t>
  </si>
  <si>
    <t>tqal_meas_microgy_21</t>
  </si>
  <si>
    <t>tqal_meas_ms_21</t>
  </si>
  <si>
    <t>tqal_meas_hvl_mmal_21</t>
  </si>
  <si>
    <t>tqal_set_kvp_22</t>
  </si>
  <si>
    <t>tqal_set_ma_22</t>
  </si>
  <si>
    <t>tqal_set_ms_22</t>
  </si>
  <si>
    <t>tqal_set_mas_22</t>
  </si>
  <si>
    <t>tqal_meas_kvp_22</t>
  </si>
  <si>
    <t>tqal_meas_microgy_22</t>
  </si>
  <si>
    <t>tqal_meas_ms_22</t>
  </si>
  <si>
    <t>tqal_meas_hvl_mmal_22</t>
  </si>
  <si>
    <t>tqal_set_kvp_23</t>
  </si>
  <si>
    <t>tqal_set_ma_23</t>
  </si>
  <si>
    <t>tqal_set_ms_23</t>
  </si>
  <si>
    <t>tqal_set_mas_23</t>
  </si>
  <si>
    <t>tqal_meas_kvp_23</t>
  </si>
  <si>
    <t>tqal_meas_microgy_23</t>
  </si>
  <si>
    <t>tqal_meas_ms_23</t>
  </si>
  <si>
    <t>tqal_meas_hvl_mmal_23</t>
  </si>
  <si>
    <t>tqal_set_kvp_24</t>
  </si>
  <si>
    <t>tqal_set_ma_24</t>
  </si>
  <si>
    <t>tqal_set_ms_24</t>
  </si>
  <si>
    <t>tqal_set_mas_24</t>
  </si>
  <si>
    <t>tqal_meas_kvp_24</t>
  </si>
  <si>
    <t>tqal_meas_microgy_24</t>
  </si>
  <si>
    <t>tqal_meas_ms_24</t>
  </si>
  <si>
    <t>tqal_meas_hvl_mmal_24</t>
  </si>
  <si>
    <t>tqal_set_kvp_25</t>
  </si>
  <si>
    <t>tqal_set_ma_25</t>
  </si>
  <si>
    <t>tqal_set_ms_25</t>
  </si>
  <si>
    <t>tqal_set_mas_25</t>
  </si>
  <si>
    <t>tqal_meas_kvp_25</t>
  </si>
  <si>
    <t>tqal_meas_microgy_25</t>
  </si>
  <si>
    <t>tqal_meas_ms_25</t>
  </si>
  <si>
    <t>tqal_meas_hvl_mmal_25</t>
  </si>
  <si>
    <t>tqas_set_kvp_1</t>
  </si>
  <si>
    <t>tqas_set_ma_1</t>
  </si>
  <si>
    <t>tqas_set_ms_1</t>
  </si>
  <si>
    <t>tqas_set_mas_1</t>
  </si>
  <si>
    <t>tqas_meas_kvp_1</t>
  </si>
  <si>
    <t>tqas_meas_microgy_1</t>
  </si>
  <si>
    <t>tqas_meas_ms_1</t>
  </si>
  <si>
    <t>tqas_meas_hvl_mmal_1</t>
  </si>
  <si>
    <t>tqas_set_kvp_2</t>
  </si>
  <si>
    <t>tqas_set_ma_2</t>
  </si>
  <si>
    <t>tqas_set_ms_2</t>
  </si>
  <si>
    <t>tqas_set_mas_2</t>
  </si>
  <si>
    <t>tqas_meas_kvp_2</t>
  </si>
  <si>
    <t>tqas_meas_microgy_2</t>
  </si>
  <si>
    <t>tqas_meas_ms_2</t>
  </si>
  <si>
    <t>tqas_meas_hvl_mmal_2</t>
  </si>
  <si>
    <t>tqas_set_kvp_3</t>
  </si>
  <si>
    <t>tqas_set_ma_3</t>
  </si>
  <si>
    <t>tqas_set_ms_3</t>
  </si>
  <si>
    <t>tqas_set_mas_3</t>
  </si>
  <si>
    <t>tqas_meas_kvp_3</t>
  </si>
  <si>
    <t>tqas_meas_microgy_3</t>
  </si>
  <si>
    <t>tqas_meas_ms_3</t>
  </si>
  <si>
    <t>tqas_meas_hvl_mmal_3</t>
  </si>
  <si>
    <t>tqas_set_kvp_4</t>
  </si>
  <si>
    <t>tqas_set_ma_4</t>
  </si>
  <si>
    <t>tqas_set_ms_4</t>
  </si>
  <si>
    <t>tqas_set_mas_4</t>
  </si>
  <si>
    <t>tqas_meas_kvp_4</t>
  </si>
  <si>
    <t>tqas_meas_microgy_4</t>
  </si>
  <si>
    <t>tqas_meas_ms_4</t>
  </si>
  <si>
    <t>tqas_meas_hvl_mmal_4</t>
  </si>
  <si>
    <t>tqas_set_kvp_5</t>
  </si>
  <si>
    <t>tqas_set_ma_5</t>
  </si>
  <si>
    <t>tqas_set_ms_5</t>
  </si>
  <si>
    <t>tqas_set_mas_5</t>
  </si>
  <si>
    <t>tqas_meas_kvp_5</t>
  </si>
  <si>
    <t>tqas_meas_microgy_5</t>
  </si>
  <si>
    <t>tqas_meas_ms_5</t>
  </si>
  <si>
    <t>tqas_meas_hvl_mmal_5</t>
  </si>
  <si>
    <t>tqas_set_kvp_6</t>
  </si>
  <si>
    <t>tqas_set_ma_6</t>
  </si>
  <si>
    <t>tqas_set_ms_6</t>
  </si>
  <si>
    <t>tqas_set_mas_6</t>
  </si>
  <si>
    <t>tqas_meas_kvp_6</t>
  </si>
  <si>
    <t>tqas_meas_microgy_6</t>
  </si>
  <si>
    <t>tqas_meas_ms_6</t>
  </si>
  <si>
    <t>tqas_meas_hvl_mmal_6</t>
  </si>
  <si>
    <t>tqas_set_kvp_7</t>
  </si>
  <si>
    <t>tqas_set_ma_7</t>
  </si>
  <si>
    <t>tqas_set_ms_7</t>
  </si>
  <si>
    <t>tqas_set_mas_7</t>
  </si>
  <si>
    <t>tqas_meas_kvp_7</t>
  </si>
  <si>
    <t>tqas_meas_microgy_7</t>
  </si>
  <si>
    <t>tqas_meas_ms_7</t>
  </si>
  <si>
    <t>tqas_meas_hvl_mmal_7</t>
  </si>
  <si>
    <t>tqas_set_kvp_8</t>
  </si>
  <si>
    <t>tqas_set_ma_8</t>
  </si>
  <si>
    <t>tqas_set_ms_8</t>
  </si>
  <si>
    <t>tqas_set_mas_8</t>
  </si>
  <si>
    <t>tqas_meas_kvp_8</t>
  </si>
  <si>
    <t>tqas_meas_microgy_8</t>
  </si>
  <si>
    <t>tqas_meas_ms_8</t>
  </si>
  <si>
    <t>tqas_meas_hvl_mmal_8</t>
  </si>
  <si>
    <t>tqas_set_kvp_9</t>
  </si>
  <si>
    <t>tqas_set_ma_9</t>
  </si>
  <si>
    <t>tqas_set_ms_9</t>
  </si>
  <si>
    <t>tqas_set_mas_9</t>
  </si>
  <si>
    <t>tqas_meas_kvp_9</t>
  </si>
  <si>
    <t>tqas_meas_microgy_9</t>
  </si>
  <si>
    <t>tqas_meas_ms_9</t>
  </si>
  <si>
    <t>tqas_meas_hvl_mmal_9</t>
  </si>
  <si>
    <t>tqas_set_kvp_10</t>
  </si>
  <si>
    <t>tqas_set_ma_10</t>
  </si>
  <si>
    <t>tqas_set_ms_10</t>
  </si>
  <si>
    <t>tqas_set_mas_10</t>
  </si>
  <si>
    <t>tqas_meas_kvp_10</t>
  </si>
  <si>
    <t>tqas_meas_microgy_10</t>
  </si>
  <si>
    <t>tqas_meas_ms_10</t>
  </si>
  <si>
    <t>tqas_meas_hvl_mmal_10</t>
  </si>
  <si>
    <t>tqas_set_kvp_11</t>
  </si>
  <si>
    <t>tqas_set_ma_11</t>
  </si>
  <si>
    <t>tqas_set_ms_11</t>
  </si>
  <si>
    <t>tqas_set_mas_11</t>
  </si>
  <si>
    <t>tqas_meas_kvp_11</t>
  </si>
  <si>
    <t>tqas_meas_microgy_11</t>
  </si>
  <si>
    <t>tqas_meas_ms_11</t>
  </si>
  <si>
    <t>tqas_meas_hvl_mmal_11</t>
  </si>
  <si>
    <t>tqas_set_kvp_12</t>
  </si>
  <si>
    <t>tqas_set_ma_12</t>
  </si>
  <si>
    <t>tqas_set_ms_12</t>
  </si>
  <si>
    <t>tqas_set_mas_12</t>
  </si>
  <si>
    <t>tqas_meas_kvp_12</t>
  </si>
  <si>
    <t>tqas_meas_microgy_12</t>
  </si>
  <si>
    <t>tqas_meas_ms_12</t>
  </si>
  <si>
    <t>tqas_meas_hvl_mmal_12</t>
  </si>
  <si>
    <t>tqas_set_kvp_13</t>
  </si>
  <si>
    <t>tqas_set_ma_13</t>
  </si>
  <si>
    <t>tqas_set_ms_13</t>
  </si>
  <si>
    <t>tqas_set_mas_13</t>
  </si>
  <si>
    <t>tqas_meas_kvp_13</t>
  </si>
  <si>
    <t>tqas_meas_microgy_13</t>
  </si>
  <si>
    <t>tqas_meas_ms_13</t>
  </si>
  <si>
    <t>tqas_meas_hvl_mmal_13</t>
  </si>
  <si>
    <t>tqas_set_kvp_14</t>
  </si>
  <si>
    <t>tqas_set_ma_14</t>
  </si>
  <si>
    <t>tqas_set_ms_14</t>
  </si>
  <si>
    <t>tqas_set_mas_14</t>
  </si>
  <si>
    <t>tqas_meas_kvp_14</t>
  </si>
  <si>
    <t>tqas_meas_microgy_14</t>
  </si>
  <si>
    <t>tqas_meas_ms_14</t>
  </si>
  <si>
    <t>tqas_meas_hvl_mmal_14</t>
  </si>
  <si>
    <t>tqas_set_kvp_15</t>
  </si>
  <si>
    <t>tqas_set_ma_15</t>
  </si>
  <si>
    <t>tqas_set_ms_15</t>
  </si>
  <si>
    <t>tqas_set_mas_15</t>
  </si>
  <si>
    <t>tqas_meas_kvp_15</t>
  </si>
  <si>
    <t>tqas_meas_microgy_15</t>
  </si>
  <si>
    <t>tqas_meas_ms_15</t>
  </si>
  <si>
    <t>tqas_meas_hvl_mmal_15</t>
  </si>
  <si>
    <t>tqas_set_kvp_16</t>
  </si>
  <si>
    <t>tqas_set_ma_16</t>
  </si>
  <si>
    <t>tqas_set_ms_16</t>
  </si>
  <si>
    <t>tqas_set_mas_16</t>
  </si>
  <si>
    <t>tqas_meas_kvp_16</t>
  </si>
  <si>
    <t>tqas_meas_microgy_16</t>
  </si>
  <si>
    <t>tqas_meas_ms_16</t>
  </si>
  <si>
    <t>tqas_meas_hvl_mmal_16</t>
  </si>
  <si>
    <t>tqas_set_kvp_17</t>
  </si>
  <si>
    <t>tqas_set_ma_17</t>
  </si>
  <si>
    <t>tqas_set_ms_17</t>
  </si>
  <si>
    <t>tqas_set_mas_17</t>
  </si>
  <si>
    <t>tqas_meas_kvp_17</t>
  </si>
  <si>
    <t>tqas_meas_microgy_17</t>
  </si>
  <si>
    <t>tqas_meas_ms_17</t>
  </si>
  <si>
    <t>tqas_meas_hvl_mmal_17</t>
  </si>
  <si>
    <t>tqas_set_kvp_18</t>
  </si>
  <si>
    <t>tqas_set_ma_18</t>
  </si>
  <si>
    <t>tqas_set_ms_18</t>
  </si>
  <si>
    <t>tqas_set_mas_18</t>
  </si>
  <si>
    <t>tqas_meas_kvp_18</t>
  </si>
  <si>
    <t>tqas_meas_microgy_18</t>
  </si>
  <si>
    <t>tqas_meas_ms_18</t>
  </si>
  <si>
    <t>tqas_meas_hvl_mmal_18</t>
  </si>
  <si>
    <t>tqas_set_kvp_19</t>
  </si>
  <si>
    <t>tqas_set_ma_19</t>
  </si>
  <si>
    <t>tqas_set_ms_19</t>
  </si>
  <si>
    <t>tqas_set_mas_19</t>
  </si>
  <si>
    <t>tqas_meas_kvp_19</t>
  </si>
  <si>
    <t>tqas_meas_microgy_19</t>
  </si>
  <si>
    <t>tqas_meas_ms_19</t>
  </si>
  <si>
    <t>tqas_meas_hvl_mmal_19</t>
  </si>
  <si>
    <t>tqas_set_kvp_20</t>
  </si>
  <si>
    <t>tqas_set_ma_20</t>
  </si>
  <si>
    <t>tqas_set_ms_20</t>
  </si>
  <si>
    <t>tqas_set_mas_20</t>
  </si>
  <si>
    <t>tqas_meas_kvp_20</t>
  </si>
  <si>
    <t>tqas_meas_microgy_20</t>
  </si>
  <si>
    <t>tqas_meas_ms_20</t>
  </si>
  <si>
    <t>tqas_meas_hvl_mmal_20</t>
  </si>
  <si>
    <t>tqas_set_kvp_21</t>
  </si>
  <si>
    <t>tqas_set_ma_21</t>
  </si>
  <si>
    <t>tqas_set_ms_21</t>
  </si>
  <si>
    <t>tqas_set_mas_21</t>
  </si>
  <si>
    <t>tqas_meas_kvp_21</t>
  </si>
  <si>
    <t>tqas_meas_microgy_21</t>
  </si>
  <si>
    <t>tqas_meas_ms_21</t>
  </si>
  <si>
    <t>tqas_meas_hvl_mmal_21</t>
  </si>
  <si>
    <t>tqas_set_kvp_22</t>
  </si>
  <si>
    <t>tqas_set_ma_22</t>
  </si>
  <si>
    <t>tqas_set_ms_22</t>
  </si>
  <si>
    <t>tqas_set_mas_22</t>
  </si>
  <si>
    <t>tqas_meas_kvp_22</t>
  </si>
  <si>
    <t>tqas_meas_microgy_22</t>
  </si>
  <si>
    <t>tqas_meas_ms_22</t>
  </si>
  <si>
    <t>tqas_meas_hvl_mmal_22</t>
  </si>
  <si>
    <t>tqas_set_kvp_23</t>
  </si>
  <si>
    <t>tqas_set_ma_23</t>
  </si>
  <si>
    <t>tqas_set_ms_23</t>
  </si>
  <si>
    <t>tqas_set_mas_23</t>
  </si>
  <si>
    <t>tqas_meas_kvp_23</t>
  </si>
  <si>
    <t>tqas_meas_microgy_23</t>
  </si>
  <si>
    <t>tqas_meas_ms_23</t>
  </si>
  <si>
    <t>tqas_meas_hvl_mmal_23</t>
  </si>
  <si>
    <t>tqas_set_kvp_24</t>
  </si>
  <si>
    <t>tqas_set_ma_24</t>
  </si>
  <si>
    <t>tqas_set_ms_24</t>
  </si>
  <si>
    <t>tqas_set_mas_24</t>
  </si>
  <si>
    <t>tqas_meas_kvp_24</t>
  </si>
  <si>
    <t>tqas_meas_microgy_24</t>
  </si>
  <si>
    <t>tqas_meas_ms_24</t>
  </si>
  <si>
    <t>tqas_meas_hvl_mmal_24</t>
  </si>
  <si>
    <t>tqas_set_kvp_25</t>
  </si>
  <si>
    <t>tqas_set_ma_25</t>
  </si>
  <si>
    <t>tqas_set_ms_25</t>
  </si>
  <si>
    <t>tqas_set_mas_25</t>
  </si>
  <si>
    <t>tqas_meas_kvp_25</t>
  </si>
  <si>
    <t>tqas_meas_microgy_25</t>
  </si>
  <si>
    <t>tqas_meas_ms_25</t>
  </si>
  <si>
    <t>fiq_pulsespeed_1</t>
  </si>
  <si>
    <t>fiq_dosemode_1</t>
  </si>
  <si>
    <t>fiq_fieldsize_1</t>
  </si>
  <si>
    <t>fiqe_lab_lih_contrast_5</t>
  </si>
  <si>
    <t>fiqe_control_live_contrast_1</t>
  </si>
  <si>
    <t>fiqe_control_live_lpmm_1</t>
  </si>
  <si>
    <t>fiqe_control_lih_contrast_1</t>
  </si>
  <si>
    <t>fiqe_control_lih_lpmm_1</t>
  </si>
  <si>
    <t>fiqe_lab_live_contrast_1</t>
  </si>
  <si>
    <t>fiqe_lab_live_lpmm_1</t>
  </si>
  <si>
    <t>fiqe_lab_lih_contrast_1</t>
  </si>
  <si>
    <t>fiqe_lab_lih_lpmm_1</t>
  </si>
  <si>
    <t>fiqe_pulsespeed_2</t>
  </si>
  <si>
    <t>fiqe_dosemode_2</t>
  </si>
  <si>
    <t>fiqe_fieldsize_2</t>
  </si>
  <si>
    <t>fiqe_control_live_contrast_2</t>
  </si>
  <si>
    <t>fiqe_control_live_lpmm_2</t>
  </si>
  <si>
    <t>fiqe_control_lih_contrast_2</t>
  </si>
  <si>
    <t>fiqe_control_lih_lpmm_2</t>
  </si>
  <si>
    <t>fiqe_lab_live_contrast_2</t>
  </si>
  <si>
    <t>fiqe_lab_live_lpmm_2</t>
  </si>
  <si>
    <t>fiqe_lab_lih_contrast_2</t>
  </si>
  <si>
    <t>fiqe_lab_lih_lpmm_2</t>
  </si>
  <si>
    <t>fiqe_pulsespeed_3</t>
  </si>
  <si>
    <t>fiqe_dosemode_3</t>
  </si>
  <si>
    <t>fiqe_fieldsize_3</t>
  </si>
  <si>
    <t>fiqe_control_live_contrast_3</t>
  </si>
  <si>
    <t>fiqe_control_live_lpmm_3</t>
  </si>
  <si>
    <t>fiqe_control_lih_contrast_3</t>
  </si>
  <si>
    <t>fiqe_control_lih_lpmm_3</t>
  </si>
  <si>
    <t>fiqe_lab_live_contrast_3</t>
  </si>
  <si>
    <t>fiqe_lab_live_lpmm_3</t>
  </si>
  <si>
    <t>fiqe_lab_lih_contrast_3</t>
  </si>
  <si>
    <t>fiqe_lab_lih_lpmm_3</t>
  </si>
  <si>
    <t>fiqe_pulsespeed_4</t>
  </si>
  <si>
    <t>fiqe_dosemode_4</t>
  </si>
  <si>
    <t>fiqe_fieldsize_4</t>
  </si>
  <si>
    <t>fiqe_control_live_contrast_4</t>
  </si>
  <si>
    <t>fiqe_control_live_lpmm_4</t>
  </si>
  <si>
    <t>fiqe_control_lih_contrast_4</t>
  </si>
  <si>
    <t>fiqe_control_lih_lpmm_4</t>
  </si>
  <si>
    <t>fiqe_lab_live_contrast_4</t>
  </si>
  <si>
    <t>fiqe_lab_live_lpmm_4</t>
  </si>
  <si>
    <t>fiqe_lab_lih_contrast_4</t>
  </si>
  <si>
    <t>fiqe_lab_lih_lpmm_4</t>
  </si>
  <si>
    <t>fiqe_pulsespeed_5</t>
  </si>
  <si>
    <t>fiqe_dosemode_5</t>
  </si>
  <si>
    <t>fiqe_fieldsize_5</t>
  </si>
  <si>
    <t>fiqe_control_live_contrast_5</t>
  </si>
  <si>
    <t>fiqe_control_live_lpmm_5</t>
  </si>
  <si>
    <t>fiqe_control_lih_contrast_5</t>
  </si>
  <si>
    <t>fiqe_control_lih_lpmm_5</t>
  </si>
  <si>
    <t>fiqe_lab_live_contrast_5</t>
  </si>
  <si>
    <t>fiqe_lab_live_lpmm_5</t>
  </si>
  <si>
    <t>fiqe_lab_lih_lpmm_5</t>
  </si>
  <si>
    <t>fiqe_pulsespeed_6</t>
  </si>
  <si>
    <t>fiqe_dosemode_6</t>
  </si>
  <si>
    <t>fiqe_fieldsize_6</t>
  </si>
  <si>
    <t>fiqe_control_live_contrast_6</t>
  </si>
  <si>
    <t>fiqe_control_live_lpmm_6</t>
  </si>
  <si>
    <t>fiqe_control_lih_contrast_6</t>
  </si>
  <si>
    <t>fiqe_control_lih_lpmm_6</t>
  </si>
  <si>
    <t>fiqe_lab_live_contrast_6</t>
  </si>
  <si>
    <t>fiqe_lab_live_lpmm_6</t>
  </si>
  <si>
    <t>fiqe_lab_lih_contrast_6</t>
  </si>
  <si>
    <t>fiqe_lab_lih_lpmm_6</t>
  </si>
  <si>
    <t>fiqe_control_monitor</t>
  </si>
  <si>
    <t>fiqe_lab_monitor</t>
  </si>
  <si>
    <t>tqas_meas_hvl_mmal_25</t>
  </si>
  <si>
    <t>ftkp_program</t>
  </si>
  <si>
    <t>ftkp_dosemode</t>
  </si>
  <si>
    <t>ftkp_rasterfactor</t>
  </si>
  <si>
    <t>ftkp_fka_cm</t>
  </si>
  <si>
    <t>ftkp_fda_cm</t>
  </si>
  <si>
    <t>ftkpl_set_kv_1</t>
  </si>
  <si>
    <t>ftkpl_meas_kv_1</t>
  </si>
  <si>
    <t>ftkpl_meas_hvl_mmal_1</t>
  </si>
  <si>
    <t>ftkpl_set_kv_2</t>
  </si>
  <si>
    <t>ftkpl_meas_kv_2</t>
  </si>
  <si>
    <t>ftkpl_meas_hvl_mmal_2</t>
  </si>
  <si>
    <t>ftkpl_set_kv_3</t>
  </si>
  <si>
    <t>ftkpl_meas_kv_3</t>
  </si>
  <si>
    <t>ftkpl_meas_hvl_mmal_3</t>
  </si>
  <si>
    <t>ftkpl_set_kv_4</t>
  </si>
  <si>
    <t>ftkpl_meas_kv_4</t>
  </si>
  <si>
    <t>ftkpl_meas_hvl_mmal_4</t>
  </si>
  <si>
    <t>ftkpl_set_kv_5</t>
  </si>
  <si>
    <t>ftkpl_meas_kv_5</t>
  </si>
  <si>
    <t>ftkpl_meas_hvl_mmal_5</t>
  </si>
  <si>
    <t>ftkpl_set_kv_6</t>
  </si>
  <si>
    <t>ftkpl_meas_kv_6</t>
  </si>
  <si>
    <t>ftkpl_meas_hvl_mmal_6</t>
  </si>
  <si>
    <t>ftkpl_set_kv_7</t>
  </si>
  <si>
    <t>ftkpl_meas_kv_7</t>
  </si>
  <si>
    <t>ftkpl_meas_hvl_mmal_7</t>
  </si>
  <si>
    <t>ftkpl_set_kv_8</t>
  </si>
  <si>
    <t>ftkpl_meas_kv_8</t>
  </si>
  <si>
    <t>ftkpl_meas_hvl_mmal_8</t>
  </si>
  <si>
    <t>ftkpl_set_kv_9</t>
  </si>
  <si>
    <t>ftkpl_meas_kv_9</t>
  </si>
  <si>
    <t>ftkpl_meas_hvl_mmal_9</t>
  </si>
  <si>
    <t>ftkpl_set_kv_10</t>
  </si>
  <si>
    <t>ftkpl_meas_kv_10</t>
  </si>
  <si>
    <t>ftkpl_meas_hvl_mmal_10</t>
  </si>
  <si>
    <t>ftkpl_set_kv_11</t>
  </si>
  <si>
    <t>ftkpl_meas_kv_11</t>
  </si>
  <si>
    <t>ftkpl_meas_hvl_mmal_11</t>
  </si>
  <si>
    <t>ftkpl_set_kv_12</t>
  </si>
  <si>
    <t>ftkpl_meas_kv_12</t>
  </si>
  <si>
    <t>ftkpl_meas_hvl_mmal_12</t>
  </si>
  <si>
    <t>ftkpl_set_kv_13</t>
  </si>
  <si>
    <t>ftkpl_meas_kv_13</t>
  </si>
  <si>
    <t>ftkpl_meas_hvl_mmal_13</t>
  </si>
  <si>
    <t>ftkps_set_kv_1</t>
  </si>
  <si>
    <t>ftkps_meas_kv_1</t>
  </si>
  <si>
    <t>ftkps_meas_hvl_mmal_1</t>
  </si>
  <si>
    <t>ftkps_set_kv_2</t>
  </si>
  <si>
    <t>ftkps_meas_kv_2</t>
  </si>
  <si>
    <t>ftkps_meas_hvl_mmal_2</t>
  </si>
  <si>
    <t>ftkps_set_kv_3</t>
  </si>
  <si>
    <t>ftkps_meas_kv_3</t>
  </si>
  <si>
    <t>ftkps_meas_hvl_mmal_3</t>
  </si>
  <si>
    <t>ftkps_set_kv_4</t>
  </si>
  <si>
    <t>ftkps_meas_kv_4</t>
  </si>
  <si>
    <t>ftkps_meas_hvl_mmal_4</t>
  </si>
  <si>
    <t>ftkps_set_kv_5</t>
  </si>
  <si>
    <t>ftkps_meas_kv_5</t>
  </si>
  <si>
    <t>ftkps_meas_hvl_mmal_5</t>
  </si>
  <si>
    <t>ftdxd_internalfiltration</t>
  </si>
  <si>
    <t>ftdxd_rasterfactor</t>
  </si>
  <si>
    <t>ftdxd_fka_cm</t>
  </si>
  <si>
    <t>ftdxd_fda_cm</t>
  </si>
  <si>
    <t>ftdxd_program_1</t>
  </si>
  <si>
    <t>ftdxd_pps_1</t>
  </si>
  <si>
    <t>ftdxd_dosemode_1</t>
  </si>
  <si>
    <t>ftdxd_fieldsize_cm_1</t>
  </si>
  <si>
    <t>ftdxd_meas_mgy_s_1</t>
  </si>
  <si>
    <t>ftdxd_corrected_mgy_s_1</t>
  </si>
  <si>
    <t>ftdxd_program_2</t>
  </si>
  <si>
    <t>ftdxd_pps_2</t>
  </si>
  <si>
    <t>ftdxd_dosemode_2</t>
  </si>
  <si>
    <t>ftdxd_fieldsize_cm_2</t>
  </si>
  <si>
    <t>ftdxd_meas_mgy_s_2</t>
  </si>
  <si>
    <t>ftdxd_corrected_mgy_s_2</t>
  </si>
  <si>
    <t>ftdxd_program_3</t>
  </si>
  <si>
    <t>ftdxd_pps_3</t>
  </si>
  <si>
    <t>ftdxd_dosemode_3</t>
  </si>
  <si>
    <t>ftdxd_fieldsize_cm_3</t>
  </si>
  <si>
    <t>ftdxd_meas_mgy_s_3</t>
  </si>
  <si>
    <t>ftdxd_corrected_mgy_s_3</t>
  </si>
  <si>
    <t>ftdxd_program_4</t>
  </si>
  <si>
    <t>ftdxd_pps_4</t>
  </si>
  <si>
    <t>ftdxd_dosemode_4</t>
  </si>
  <si>
    <t>ftdxd_fieldsize_cm_4</t>
  </si>
  <si>
    <t>ftdxd_meas_mgy_s_4</t>
  </si>
  <si>
    <t>ftdxd_corrected_mgy_s_4</t>
  </si>
  <si>
    <t>ftdxd_program_5</t>
  </si>
  <si>
    <t>ftdxd_pps_5</t>
  </si>
  <si>
    <t>ftdxd_dosemode_5</t>
  </si>
  <si>
    <t>ftdxd_fieldsize_cm_5</t>
  </si>
  <si>
    <t>ftdxd_meas_mgy_s_5</t>
  </si>
  <si>
    <t>ftdxd_corrected_mgy_s_5</t>
  </si>
  <si>
    <t>ftdxd_program_6</t>
  </si>
  <si>
    <t>ftdxd_pps_6</t>
  </si>
  <si>
    <t>ftdxd_dosemode_6</t>
  </si>
  <si>
    <t>ftdxd_fieldsize_cm_6</t>
  </si>
  <si>
    <t>ftdxd_meas_mgy_s_6</t>
  </si>
  <si>
    <t>ftdxd_corrected_mgy_s_6</t>
  </si>
  <si>
    <t>ftdxd_program_7</t>
  </si>
  <si>
    <t>ftdxd_pps_7</t>
  </si>
  <si>
    <t>ftdxd_dosemode_7</t>
  </si>
  <si>
    <t>ftdxd_fieldsize_cm_7</t>
  </si>
  <si>
    <t>ftdxd_meas_mgy_s_7</t>
  </si>
  <si>
    <t>ftdxd_corrected_mgy_s_7</t>
  </si>
  <si>
    <t>ftdxd_program_8</t>
  </si>
  <si>
    <t>ftdxd_pps_8</t>
  </si>
  <si>
    <t>ftdxd_dosemode_8</t>
  </si>
  <si>
    <t>ftdxd_fieldsize_cm_8</t>
  </si>
  <si>
    <t>ftdxd_meas_mgy_s_8</t>
  </si>
  <si>
    <t>ftdxd_corrected_mgy_s_8</t>
  </si>
  <si>
    <t>ftdxd_program_9</t>
  </si>
  <si>
    <t>ftdxd_pps_9</t>
  </si>
  <si>
    <t>ftdxd_dosemode_9</t>
  </si>
  <si>
    <t>ftdxd_fieldsize_cm_9</t>
  </si>
  <si>
    <t>ftdxd_meas_mgy_s_9</t>
  </si>
  <si>
    <t>ftdxd_corrected_mgy_s_9</t>
  </si>
  <si>
    <t>ftdxd_program_10</t>
  </si>
  <si>
    <t>ftdxd_pps_10</t>
  </si>
  <si>
    <t>ftdxd_dosemode_10</t>
  </si>
  <si>
    <t>ftdxd_fieldsize_cm_10</t>
  </si>
  <si>
    <t>ftdxd_meas_mgy_s_10</t>
  </si>
  <si>
    <t>ftdxd_corrected_mgy_s_10</t>
  </si>
  <si>
    <t>ftdxd_program_11</t>
  </si>
  <si>
    <t>ftdxd_pps_11</t>
  </si>
  <si>
    <t>ftdxd_dosemode_11</t>
  </si>
  <si>
    <t>ftdxd_fieldsize_cm_11</t>
  </si>
  <si>
    <t>ftdxd_meas_mgy_s_11</t>
  </si>
  <si>
    <t>ftdxd_corrected_mgy_s_11</t>
  </si>
  <si>
    <t>ftdxd_program_12</t>
  </si>
  <si>
    <t>ftdxd_pps_12</t>
  </si>
  <si>
    <t>ftdxd_dosemode_12</t>
  </si>
  <si>
    <t>ftdxd_fieldsize_cm_12</t>
  </si>
  <si>
    <t>ftdxd_meas_mgy_s_12</t>
  </si>
  <si>
    <t>ftdxd_corrected_mgy_s_12</t>
  </si>
  <si>
    <t>ftdxd_program_13</t>
  </si>
  <si>
    <t>ftdxd_pps_13</t>
  </si>
  <si>
    <t>ftdxd_dosemode_13</t>
  </si>
  <si>
    <t>ftdxd_fieldsize_cm_13</t>
  </si>
  <si>
    <t>ftdxd_meas_mgy_s_13</t>
  </si>
  <si>
    <t>ftdxd_corrected_mgy_s_13</t>
  </si>
  <si>
    <t>ftpxd_internalfiltration</t>
  </si>
  <si>
    <t>ftpxd_fha_cm</t>
  </si>
  <si>
    <t>ftpxd_fka_cm</t>
  </si>
  <si>
    <t>ftpxd_fda_cm</t>
  </si>
  <si>
    <t>ftpxd_program_1</t>
  </si>
  <si>
    <t>ftpxd_pps_1</t>
  </si>
  <si>
    <t>ftpxd_dosemode_1</t>
  </si>
  <si>
    <t>ftpxd_fieldsize_cm_1</t>
  </si>
  <si>
    <t>ftpxd_meas_mgy_s_1</t>
  </si>
  <si>
    <t>ftpxd_meas_pps_1</t>
  </si>
  <si>
    <t>ftpxd_program_2</t>
  </si>
  <si>
    <t>ftpxd_pps_2</t>
  </si>
  <si>
    <t>ftpxd_dosemode_2</t>
  </si>
  <si>
    <t>ftpxd_fieldsize_cm_2</t>
  </si>
  <si>
    <t>ftpxd_meas_mgy_s_2</t>
  </si>
  <si>
    <t>ftpxd_meas_pps_2</t>
  </si>
  <si>
    <t>ftpxd_program_3</t>
  </si>
  <si>
    <t>ftpxd_pps_3</t>
  </si>
  <si>
    <t>ftpxd_dosemode_3</t>
  </si>
  <si>
    <t>ftpxd_fieldsize_cm_3</t>
  </si>
  <si>
    <t>ftpxd_meas_mgy_s_3</t>
  </si>
  <si>
    <t>ftpxd_meas_pps_3</t>
  </si>
  <si>
    <t>ftpxd_program_4</t>
  </si>
  <si>
    <t>ftpxd_pps_4</t>
  </si>
  <si>
    <t>ftpxd_dosemode_4</t>
  </si>
  <si>
    <t>ftpxd_fieldsize_cm_4</t>
  </si>
  <si>
    <t>ftpxd_meas_mgy_s_4</t>
  </si>
  <si>
    <t>ftpxd_meas_pps_4</t>
  </si>
  <si>
    <t>ftpxd_program_5</t>
  </si>
  <si>
    <t>ftpxd_pps_5</t>
  </si>
  <si>
    <t>ftpxd_dosemode_5</t>
  </si>
  <si>
    <t>ftpxd_fieldsize_cm_5</t>
  </si>
  <si>
    <t>ftpxd_meas_mgy_s_5</t>
  </si>
  <si>
    <t>ftpxd_meas_pps_5</t>
  </si>
  <si>
    <t>ftpxd_program_6</t>
  </si>
  <si>
    <t>ftpxd_pps_6</t>
  </si>
  <si>
    <t>ftpxd_dosemode_6</t>
  </si>
  <si>
    <t>ftpxd_fieldsize_cm_6</t>
  </si>
  <si>
    <t>ftpxd_meas_mgy_s_6</t>
  </si>
  <si>
    <t>ftpxd_meas_pps_6</t>
  </si>
  <si>
    <t>ftpxd_program_7</t>
  </si>
  <si>
    <t>ftpxd_pps_7</t>
  </si>
  <si>
    <t>ftpxd_dosemode_7</t>
  </si>
  <si>
    <t>ftpxd_fieldsize_cm_7</t>
  </si>
  <si>
    <t>ftpxd_meas_mgy_s_7</t>
  </si>
  <si>
    <t>ftpxd_meas_pps_7</t>
  </si>
  <si>
    <t>ftpxd_program_8</t>
  </si>
  <si>
    <t>ftpxd_pps_8</t>
  </si>
  <si>
    <t>ftpxd_dosemode_8</t>
  </si>
  <si>
    <t>ftpxd_fieldsize_cm_8</t>
  </si>
  <si>
    <t>ftpxd_meas_mgy_s_8</t>
  </si>
  <si>
    <t>ftpxd_meas_pps_8</t>
  </si>
  <si>
    <t>ftpxd_program_9</t>
  </si>
  <si>
    <t>ftpxd_pps_9</t>
  </si>
  <si>
    <t>ftpxd_dosemode_9</t>
  </si>
  <si>
    <t>ftpxd_fieldsize_cm_9</t>
  </si>
  <si>
    <t>ftpxd_meas_mgy_s_9</t>
  </si>
  <si>
    <t>ftpxd_meas_pps_9</t>
  </si>
  <si>
    <t>ftpxd_program_10</t>
  </si>
  <si>
    <t>ftpxd_pps_10</t>
  </si>
  <si>
    <t>ftpxd_dosemode_10</t>
  </si>
  <si>
    <t>ftpxd_fieldsize_cm_10</t>
  </si>
  <si>
    <t>ftpxd_meas_mgy_s_10</t>
  </si>
  <si>
    <t>ftpxd_meas_pps_10</t>
  </si>
  <si>
    <t>ftdxd_panel_ma_1</t>
  </si>
  <si>
    <t>ftdxd_panel_ma_2</t>
  </si>
  <si>
    <t>ftdxd_panel_ma_3</t>
  </si>
  <si>
    <t>ftdxd_panel_ma_4</t>
  </si>
  <si>
    <t>ftdxd_panel_ma_5</t>
  </si>
  <si>
    <t>ftdxd_panel_ma_6</t>
  </si>
  <si>
    <t>ftdxd_panel_ma_7</t>
  </si>
  <si>
    <t>ftdxd_panel_ma_8</t>
  </si>
  <si>
    <t>ftdxd_panel_ma_9</t>
  </si>
  <si>
    <t>ftdxd_panel_ma_10</t>
  </si>
  <si>
    <t>ftdxd_panel_ma_11</t>
  </si>
  <si>
    <t>ftdxd_panel_ma_12</t>
  </si>
  <si>
    <t>ftdxd_panel_ma_13</t>
  </si>
  <si>
    <t>ftpxd_panel_ma_1</t>
  </si>
  <si>
    <t>ftpxd_panel_ma_2</t>
  </si>
  <si>
    <t>ftpxd_panel_ma_3</t>
  </si>
  <si>
    <t>ftpxd_panel_ma_4</t>
  </si>
  <si>
    <t>ftpxd_panel_ma_5</t>
  </si>
  <si>
    <t>ftpxd_panel_ma_6</t>
  </si>
  <si>
    <t>ftpxd_panel_ma_7</t>
  </si>
  <si>
    <t>ftpxd_panel_ma_8</t>
  </si>
  <si>
    <t>ftpxd_panel_ma_9</t>
  </si>
  <si>
    <t>ftpxd_panel_ma_10</t>
  </si>
  <si>
    <t>ftdxd_panel_ms_1</t>
  </si>
  <si>
    <t>ftdxd_panel_ms_2</t>
  </si>
  <si>
    <t>ftdxd_panel_ms_3</t>
  </si>
  <si>
    <t>ftdxd_panel_ms_4</t>
  </si>
  <si>
    <t>ftdxd_panel_ms_5</t>
  </si>
  <si>
    <t>ftdxd_panel_ms_6</t>
  </si>
  <si>
    <t>ftdxd_panel_ms_7</t>
  </si>
  <si>
    <t>ftdxd_panel_ms_8</t>
  </si>
  <si>
    <t>ftdxd_panel_ms_9</t>
  </si>
  <si>
    <t>ftdxd_panel_ms_10</t>
  </si>
  <si>
    <t>ftdxd_panel_ms_11</t>
  </si>
  <si>
    <t>ftdxd_panel_ms_12</t>
  </si>
  <si>
    <t>ftdxd_panel_ms_13</t>
  </si>
  <si>
    <t>ftpxd_panel_ms_1</t>
  </si>
  <si>
    <t>ftpxd_panel_ms_2</t>
  </si>
  <si>
    <t>ftpxd_panel_ms_3</t>
  </si>
  <si>
    <t>ftpxd_panel_ms_4</t>
  </si>
  <si>
    <t>ftpxd_panel_ms_5</t>
  </si>
  <si>
    <t>ftpxd_panel_ms_6</t>
  </si>
  <si>
    <t>ftpxd_panel_ms_7</t>
  </si>
  <si>
    <t>ftpxd_panel_ms_8</t>
  </si>
  <si>
    <t>ftpxd_panel_ms_9</t>
  </si>
  <si>
    <t>ftpxd_panel_ms_10</t>
  </si>
  <si>
    <t>ftdxd_panel_kv_1</t>
  </si>
  <si>
    <t>ftdxd_panel_kv_2</t>
  </si>
  <si>
    <t>ftdxd_panel_kv_3</t>
  </si>
  <si>
    <t>ftdxd_panel_kv_4</t>
  </si>
  <si>
    <t>ftdxd_panel_kv_5</t>
  </si>
  <si>
    <t>ftdxd_panel_kv_6</t>
  </si>
  <si>
    <t>ftdxd_panel_kv_7</t>
  </si>
  <si>
    <t>ftdxd_panel_kv_8</t>
  </si>
  <si>
    <t>ftdxd_panel_kv_9</t>
  </si>
  <si>
    <t>ftdxd_panel_kv_10</t>
  </si>
  <si>
    <t>ftdxd_panel_kv_11</t>
  </si>
  <si>
    <t>ftdxd_panel_kv_12</t>
  </si>
  <si>
    <t>ftdxd_panel_kv_13</t>
  </si>
  <si>
    <t>ftpxd_panel_kv_1</t>
  </si>
  <si>
    <t>ftpxd_panel_kv_2</t>
  </si>
  <si>
    <t>ftpxd_panel_kv_3</t>
  </si>
  <si>
    <t>ftpxd_panel_kv_4</t>
  </si>
  <si>
    <t>ftpxd_panel_kv_5</t>
  </si>
  <si>
    <t>ftpxd_panel_kv_6</t>
  </si>
  <si>
    <t>ftpxd_panel_kv_7</t>
  </si>
  <si>
    <t>ftpxd_panel_kv_8</t>
  </si>
  <si>
    <t>ftpxd_panel_kv_9</t>
  </si>
  <si>
    <t>ftpxd_panel_kv_10</t>
  </si>
  <si>
    <t>ppl_names</t>
  </si>
  <si>
    <t>doc_number</t>
  </si>
  <si>
    <t>dap_each_kv_1</t>
  </si>
  <si>
    <t>dap_each_hvl_1</t>
  </si>
  <si>
    <t>dap_each_meter_mean_hvl_1</t>
  </si>
  <si>
    <t>dap_each_meter_mean_kv_1</t>
  </si>
  <si>
    <t>dap_each_modality_mean_1</t>
  </si>
  <si>
    <t>dap_each_kv_2</t>
  </si>
  <si>
    <t>dap_each_hvl_2</t>
  </si>
  <si>
    <t>dap_each_meter_mean_hvl_2</t>
  </si>
  <si>
    <t>dap_each_meter_mean_kv_2</t>
  </si>
  <si>
    <t>dap_each_modality_mean_2</t>
  </si>
  <si>
    <t>dap_each_kv_3</t>
  </si>
  <si>
    <t>dap_each_hvl_3</t>
  </si>
  <si>
    <t>dap_each_meter_mean_hvl_3</t>
  </si>
  <si>
    <t>dap_each_meter_mean_kv_3</t>
  </si>
  <si>
    <t>dap_each_modality_mean_3</t>
  </si>
  <si>
    <t>dap_each_kv_4</t>
  </si>
  <si>
    <t>dap_each_hvl_4</t>
  </si>
  <si>
    <t>dap_each_meter_mean_hvl_4</t>
  </si>
  <si>
    <t>dap_each_meter_mean_kv_4</t>
  </si>
  <si>
    <t>dap_each_modality_mean_4</t>
  </si>
  <si>
    <t>dap_each_kv_5</t>
  </si>
  <si>
    <t>dap_each_hvl_5</t>
  </si>
  <si>
    <t>dap_each_meter_mean_hvl_5</t>
  </si>
  <si>
    <t>dap_each_meter_mean_kv_5</t>
  </si>
  <si>
    <t>dap_each_modality_mean_5</t>
  </si>
  <si>
    <t>Kommentar</t>
  </si>
  <si>
    <t>qa_comment</t>
  </si>
  <si>
    <t>aekt_raster</t>
  </si>
  <si>
    <t>aekt_program</t>
  </si>
  <si>
    <t>aekt_kv</t>
  </si>
  <si>
    <t>aekt_ma</t>
  </si>
  <si>
    <t>aekt_focus</t>
  </si>
  <si>
    <t>aekt_size</t>
  </si>
  <si>
    <t>aekt_density</t>
  </si>
  <si>
    <t>aekt_fda_cm</t>
  </si>
  <si>
    <t>aekt_cov_1mm</t>
  </si>
  <si>
    <t>aekt_cov_2mm</t>
  </si>
  <si>
    <t>aekw_raster</t>
  </si>
  <si>
    <t>aekw_fda_cm</t>
  </si>
  <si>
    <t>aekw_program</t>
  </si>
  <si>
    <t>aekw_kv</t>
  </si>
  <si>
    <t>aekw_ma</t>
  </si>
  <si>
    <t>aekw_focus</t>
  </si>
  <si>
    <t>aekw_size</t>
  </si>
  <si>
    <t>aekw_density</t>
  </si>
  <si>
    <t>aekw_cov_1mm</t>
  </si>
  <si>
    <t>aekw_cov_2mm</t>
  </si>
  <si>
    <t>aekt_rasterfocus_cm</t>
  </si>
  <si>
    <t>aektce_ms_1</t>
  </si>
  <si>
    <t>aektce_ms_2</t>
  </si>
  <si>
    <t>aektce_ms_3</t>
  </si>
  <si>
    <t>aektce_ms_4</t>
  </si>
  <si>
    <t>aektce_ms_5</t>
  </si>
  <si>
    <t>aektce_ms_6</t>
  </si>
  <si>
    <t>aektce_ms_7</t>
  </si>
  <si>
    <t>aektce_microgy_1</t>
  </si>
  <si>
    <t>aektce_microgy_2</t>
  </si>
  <si>
    <t>aektce_microgy_3</t>
  </si>
  <si>
    <t>aektce_microgy_4</t>
  </si>
  <si>
    <t>aektce_microgy_5</t>
  </si>
  <si>
    <t>aektce_microgy_6</t>
  </si>
  <si>
    <t>aektce_microgy_7</t>
  </si>
  <si>
    <t>aekte_microgy_1mm_ch1_1</t>
  </si>
  <si>
    <t>aekte_microgy_1mm_ch1_2</t>
  </si>
  <si>
    <t>aekte_microgy_1mm_ch2_1</t>
  </si>
  <si>
    <t>aekte_microgy_1mm_ch2_2</t>
  </si>
  <si>
    <t>aekte_microgy_1mm_ch3_1</t>
  </si>
  <si>
    <t>aekte_microgy_1mm_ch3_2</t>
  </si>
  <si>
    <t>aekte_microgy_2mm_ch3_1</t>
  </si>
  <si>
    <t>aekte_microgy_2mm_ch3_2</t>
  </si>
  <si>
    <t>aekte_microgy_2mm_ch2_1</t>
  </si>
  <si>
    <t>aekte_microgy_2mm_ch2_2</t>
  </si>
  <si>
    <t>aekte_microgy_2mm_ch1_1</t>
  </si>
  <si>
    <t>aekte_microgy_2mm_ch1_2</t>
  </si>
  <si>
    <t>aekte_ms_1mm_ch1_1</t>
  </si>
  <si>
    <t>aekte_ms_1mm_ch1_2</t>
  </si>
  <si>
    <t>aekte_ms_1mm_ch2_1</t>
  </si>
  <si>
    <t>aekte_ms_1mm_ch2_2</t>
  </si>
  <si>
    <t>aekte_ms_1mm_ch3_1</t>
  </si>
  <si>
    <t>aekte_ms_1mm_ch3_2</t>
  </si>
  <si>
    <t>aekte_ms_2mm_ch3_1</t>
  </si>
  <si>
    <t>aekte_ms_2mm_ch3_2</t>
  </si>
  <si>
    <t>aekte_ms_2mm_ch2_1</t>
  </si>
  <si>
    <t>aekte_ms_2mm_ch2_2</t>
  </si>
  <si>
    <t>aekte_ms_2mm_ch1_1</t>
  </si>
  <si>
    <t>aekte_ms_2mm_ch1_2</t>
  </si>
  <si>
    <t>aekwe_ms_1mm_ch1_1</t>
  </si>
  <si>
    <t>aekwe_ms_1mm_ch1_2</t>
  </si>
  <si>
    <t>aekwe_ms_1mm_ch2_1</t>
  </si>
  <si>
    <t>aekwe_ms_1mm_ch2_2</t>
  </si>
  <si>
    <t>aekwe_ms_1mm_ch3_1</t>
  </si>
  <si>
    <t>aekwe_ms_1mm_ch3_2</t>
  </si>
  <si>
    <t>aekwe_ms_2mm_ch3_1</t>
  </si>
  <si>
    <t>aekwe_ms_2mm_ch3_2</t>
  </si>
  <si>
    <t>aekwe_ms_2mm_ch2_1</t>
  </si>
  <si>
    <t>aekwe_ms_2mm_ch2_2</t>
  </si>
  <si>
    <t>aekwe_ms_2mm_ch1_1</t>
  </si>
  <si>
    <t>aekwe_ms_2mm_ch1_2</t>
  </si>
  <si>
    <t>aekwe_microgy_1mm_ch1_1</t>
  </si>
  <si>
    <t>aekwe_microgy_1mm_ch1_2</t>
  </si>
  <si>
    <t>aekwe_microgy_1mm_ch2_1</t>
  </si>
  <si>
    <t>aekwe_microgy_1mm_ch2_2</t>
  </si>
  <si>
    <t>aekwe_microgy_1mm_ch3_1</t>
  </si>
  <si>
    <t>aekwe_microgy_1mm_ch3_2</t>
  </si>
  <si>
    <t>aekwe_microgy_2mm_ch3_1</t>
  </si>
  <si>
    <t>aekwe_microgy_2mm_ch3_2</t>
  </si>
  <si>
    <t>aekwe_microgy_2mm_ch2_1</t>
  </si>
  <si>
    <t>aekwe_microgy_2mm_ch2_2</t>
  </si>
  <si>
    <t>aekwe_microgy_2mm_ch1_1</t>
  </si>
  <si>
    <t>aekwe_microgy_2mm_ch1_2</t>
  </si>
  <si>
    <t>aekwce_ms_1</t>
  </si>
  <si>
    <t>aekwce_ms_2</t>
  </si>
  <si>
    <t>aekwce_ms_3</t>
  </si>
  <si>
    <t>aekwce_ms_4</t>
  </si>
  <si>
    <t>aekwce_ms_5</t>
  </si>
  <si>
    <t>aekwce_ms_6</t>
  </si>
  <si>
    <t>aekwce_ms_7</t>
  </si>
  <si>
    <t>aekwce_microgy_1</t>
  </si>
  <si>
    <t>aekwce_microgy_2</t>
  </si>
  <si>
    <t>aekwce_microgy_3</t>
  </si>
  <si>
    <t>aekwce_microgy_4</t>
  </si>
  <si>
    <t>aekwce_microgy_5</t>
  </si>
  <si>
    <t>aekwce_microgy_6</t>
  </si>
  <si>
    <t>aekwce_microgy_7</t>
  </si>
  <si>
    <t>Kammer</t>
  </si>
  <si>
    <t>1 mm</t>
  </si>
  <si>
    <t>2 mm</t>
  </si>
  <si>
    <t>Variasjon</t>
  </si>
  <si>
    <t>Lysførhold</t>
  </si>
  <si>
    <t>mA/ms</t>
  </si>
  <si>
    <t>Avstand til skjerm</t>
  </si>
  <si>
    <t>Contrast/Brightness</t>
  </si>
  <si>
    <t>Filter og processering</t>
  </si>
  <si>
    <t>FOA [cm]</t>
  </si>
  <si>
    <t>fiq_comment</t>
  </si>
  <si>
    <t>tqa_comment</t>
  </si>
  <si>
    <t>ftkp_comment</t>
  </si>
  <si>
    <t>ftdxd_comment</t>
  </si>
  <si>
    <t>ftpxd_comment</t>
  </si>
  <si>
    <t>dap_comment</t>
  </si>
  <si>
    <t>aekt_comment</t>
  </si>
  <si>
    <t>aekw_comment</t>
  </si>
  <si>
    <t>µGy = a * ms + b</t>
  </si>
  <si>
    <t>1 mm Cu</t>
  </si>
  <si>
    <t>2mm Cu</t>
  </si>
  <si>
    <t>Variasjonskoeffisient med tanke på tykkelse BORD</t>
  </si>
  <si>
    <t>Variasjonskoeffisient med tanke på tykkelse VEGG</t>
  </si>
  <si>
    <t>kVp avvik [%]</t>
  </si>
  <si>
    <t>kVp avvik &lt; 10 % og &lt; 10 kVp</t>
  </si>
  <si>
    <t>KRAV:</t>
  </si>
  <si>
    <t>Minste HVL [mmAl]</t>
  </si>
  <si>
    <t>N/A</t>
  </si>
  <si>
    <t>Test av røntgenrør, 0 mm Cu</t>
  </si>
  <si>
    <t>Stråleutbytte [µGy/mAs]</t>
  </si>
  <si>
    <t>Dose</t>
  </si>
  <si>
    <t>DAP-kalibrering</t>
  </si>
  <si>
    <t>Enhet [mAs/mA]</t>
  </si>
  <si>
    <t>Målt dose [µGy]</t>
  </si>
  <si>
    <t>Venstre</t>
  </si>
  <si>
    <t>Høyre</t>
  </si>
  <si>
    <t>Midt</t>
  </si>
  <si>
    <t>Innstillinger i rommet og på monitor</t>
  </si>
  <si>
    <t>aekc_slope_1mm</t>
  </si>
  <si>
    <t>aekc_offset_1mm</t>
  </si>
  <si>
    <t>aekc_slope_2mm</t>
  </si>
  <si>
    <t>aekc_offset_2mm</t>
  </si>
  <si>
    <t>aekw_rasterfocus_cm</t>
  </si>
  <si>
    <t>Stasjonsnavn</t>
  </si>
  <si>
    <t>S/N</t>
  </si>
  <si>
    <t>Spredt stråling</t>
  </si>
  <si>
    <t>Protokoll</t>
  </si>
  <si>
    <t>Kommentar til rapport</t>
  </si>
  <si>
    <t>5 arbeidsdager pr uke, 45 arbeidsuker</t>
  </si>
  <si>
    <t>Målepunkt</t>
  </si>
  <si>
    <t>Antall undersøkelser pr år</t>
  </si>
  <si>
    <t>Estimert årsdose [mSv]</t>
  </si>
  <si>
    <t>Maks doserate [µGy/h]</t>
  </si>
  <si>
    <t>Akkumulert dose [µGy]</t>
  </si>
  <si>
    <t>Gjsnitt doserate [µGy/h]</t>
  </si>
  <si>
    <t>Spredemateriale</t>
  </si>
  <si>
    <t>bøtte med vann, stabel med perspex plater</t>
  </si>
  <si>
    <t>Måleutstyr</t>
  </si>
  <si>
    <t>Unfors Xi med Dose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</si>
</sst>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&quot;kr&quot;\ * #,##0.00_);_(&quot;kr&quot;\ * \(#,##0.00\);_(&quot;kr&quot;\ * &quot;-&quot;??_);_(@_)"/>
    <numFmt numFmtId="165" formatCode="0.0\ %"/>
    <numFmt numFmtId="166" formatCode="0.0"/>
    <numFmt numFmtId="167" formatCode="0.000"/>
    <numFmt numFmtId="168" formatCode="0.0000"/>
    <numFmt numFmtId="169" formatCode="#&quot;°C&quot;"/>
    <numFmt numFmtId="170" formatCode="#&quot; kPa&quot;"/>
    <numFmt numFmtId="171" formatCode="0.00&quot; µGy&quot;"/>
  </numFmts>
  <fonts count="19" x14ac:knownFonts="1">
    <font>
      <sz val="10"/>
      <name val="Arial"/>
    </font>
    <font>
      <sz val="10"/>
      <name val="Arial"/>
      <family val="2"/>
    </font>
    <font>
      <sz val="12"/>
      <name val="Garamond"/>
      <family val="1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color indexed="17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b/>
      <vertAlign val="superscript"/>
      <sz val="10"/>
      <name val="Arial"/>
      <family val="2"/>
    </font>
    <font>
      <sz val="14"/>
      <color indexed="81"/>
      <name val="Tahoma"/>
      <family val="2"/>
    </font>
    <font>
      <vertAlign val="subscript"/>
      <sz val="14"/>
      <color indexed="81"/>
      <name val="Tahoma"/>
      <family val="2"/>
    </font>
    <font>
      <b/>
      <vertAlign val="subscript"/>
      <sz val="10"/>
      <name val="Arial"/>
      <family val="2"/>
    </font>
    <font>
      <vertAlign val="subscript"/>
      <sz val="10"/>
      <name val="Arial"/>
      <family val="2"/>
    </font>
    <font>
      <sz val="8"/>
      <color rgb="FF000000"/>
      <name val="Tahoma"/>
      <family val="2"/>
    </font>
    <font>
      <b/>
      <sz val="12"/>
      <name val="Arial"/>
      <family val="2"/>
    </font>
    <font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164" fontId="1" fillId="0" borderId="0" applyFont="0" applyFill="0" applyBorder="0" applyAlignment="0" applyProtection="0"/>
  </cellStyleXfs>
  <cellXfs count="413">
    <xf numFmtId="0" fontId="0" fillId="0" borderId="0" xfId="0"/>
    <xf numFmtId="0" fontId="0" fillId="0" borderId="0" xfId="0" applyFill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0" fillId="7" borderId="0" xfId="0" applyFill="1"/>
    <xf numFmtId="0" fontId="5" fillId="0" borderId="0" xfId="0" applyFont="1" applyFill="1"/>
    <xf numFmtId="167" fontId="0" fillId="0" borderId="0" xfId="0" applyNumberFormat="1"/>
    <xf numFmtId="21" fontId="0" fillId="0" borderId="0" xfId="0" applyNumberFormat="1"/>
    <xf numFmtId="0" fontId="0" fillId="0" borderId="0" xfId="0" applyBorder="1"/>
    <xf numFmtId="0" fontId="0" fillId="0" borderId="0" xfId="0" applyFill="1" applyBorder="1"/>
    <xf numFmtId="0" fontId="9" fillId="0" borderId="1" xfId="0" applyFont="1" applyBorder="1" applyAlignment="1">
      <alignment horizontal="center" vertical="center"/>
    </xf>
    <xf numFmtId="0" fontId="5" fillId="0" borderId="0" xfId="0" applyFont="1"/>
    <xf numFmtId="0" fontId="9" fillId="0" borderId="2" xfId="0" applyFont="1" applyBorder="1" applyAlignment="1">
      <alignment horizontal="center" vertical="center"/>
    </xf>
    <xf numFmtId="0" fontId="9" fillId="0" borderId="2" xfId="0" applyFont="1" applyBorder="1" applyAlignment="1">
      <alignment horizontal="center"/>
    </xf>
    <xf numFmtId="164" fontId="9" fillId="0" borderId="2" xfId="2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2" fontId="9" fillId="0" borderId="2" xfId="0" applyNumberFormat="1" applyFont="1" applyFill="1" applyBorder="1" applyAlignment="1">
      <alignment horizontal="center" vertical="center" wrapText="1"/>
    </xf>
    <xf numFmtId="166" fontId="9" fillId="0" borderId="2" xfId="0" applyNumberFormat="1" applyFont="1" applyFill="1" applyBorder="1" applyAlignment="1">
      <alignment horizontal="center" vertical="center" wrapText="1"/>
    </xf>
    <xf numFmtId="166" fontId="9" fillId="0" borderId="4" xfId="0" applyNumberFormat="1" applyFont="1" applyFill="1" applyBorder="1" applyAlignment="1">
      <alignment horizontal="center" vertical="center" wrapText="1"/>
    </xf>
    <xf numFmtId="1" fontId="5" fillId="3" borderId="5" xfId="0" applyNumberFormat="1" applyFont="1" applyFill="1" applyBorder="1" applyAlignment="1" applyProtection="1">
      <alignment horizontal="center"/>
      <protection locked="0"/>
    </xf>
    <xf numFmtId="1" fontId="5" fillId="3" borderId="6" xfId="0" applyNumberFormat="1" applyFont="1" applyFill="1" applyBorder="1" applyAlignment="1" applyProtection="1">
      <alignment horizontal="center"/>
      <protection locked="0"/>
    </xf>
    <xf numFmtId="1" fontId="5" fillId="3" borderId="2" xfId="0" applyNumberFormat="1" applyFont="1" applyFill="1" applyBorder="1" applyAlignment="1" applyProtection="1">
      <alignment horizontal="center"/>
      <protection locked="0"/>
    </xf>
    <xf numFmtId="1" fontId="9" fillId="3" borderId="2" xfId="0" applyNumberFormat="1" applyFont="1" applyFill="1" applyBorder="1" applyAlignment="1" applyProtection="1">
      <alignment horizontal="center"/>
      <protection locked="0"/>
    </xf>
    <xf numFmtId="168" fontId="5" fillId="3" borderId="2" xfId="0" applyNumberFormat="1" applyFont="1" applyFill="1" applyBorder="1" applyAlignment="1" applyProtection="1">
      <alignment horizontal="center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9" fillId="4" borderId="3" xfId="0" applyFont="1" applyFill="1" applyBorder="1" applyAlignment="1" applyProtection="1">
      <alignment horizontal="center" vertical="center"/>
      <protection locked="0"/>
    </xf>
    <xf numFmtId="2" fontId="5" fillId="0" borderId="2" xfId="0" applyNumberFormat="1" applyFont="1" applyFill="1" applyBorder="1"/>
    <xf numFmtId="2" fontId="5" fillId="4" borderId="2" xfId="0" applyNumberFormat="1" applyFont="1" applyFill="1" applyBorder="1" applyAlignment="1">
      <alignment horizontal="center" vertical="center"/>
    </xf>
    <xf numFmtId="2" fontId="9" fillId="4" borderId="4" xfId="0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/>
    </xf>
    <xf numFmtId="1" fontId="5" fillId="3" borderId="3" xfId="0" applyNumberFormat="1" applyFont="1" applyFill="1" applyBorder="1" applyAlignment="1" applyProtection="1">
      <alignment horizontal="center"/>
      <protection locked="0"/>
    </xf>
    <xf numFmtId="1" fontId="5" fillId="3" borderId="1" xfId="0" applyNumberFormat="1" applyFont="1" applyFill="1" applyBorder="1" applyAlignment="1" applyProtection="1">
      <alignment horizontal="center"/>
      <protection locked="0"/>
    </xf>
    <xf numFmtId="1" fontId="5" fillId="3" borderId="7" xfId="0" applyNumberFormat="1" applyFont="1" applyFill="1" applyBorder="1" applyAlignment="1" applyProtection="1">
      <alignment horizontal="center"/>
      <protection locked="0"/>
    </xf>
    <xf numFmtId="2" fontId="9" fillId="2" borderId="2" xfId="0" applyNumberFormat="1" applyFont="1" applyFill="1" applyBorder="1" applyAlignment="1"/>
    <xf numFmtId="0" fontId="9" fillId="0" borderId="3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2" fontId="9" fillId="4" borderId="2" xfId="0" applyNumberFormat="1" applyFont="1" applyFill="1" applyBorder="1" applyAlignment="1">
      <alignment horizontal="center" vertical="center"/>
    </xf>
    <xf numFmtId="2" fontId="5" fillId="0" borderId="0" xfId="0" applyNumberFormat="1" applyFont="1" applyFill="1" applyBorder="1"/>
    <xf numFmtId="0" fontId="10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vertical="center" wrapText="1"/>
    </xf>
    <xf numFmtId="1" fontId="5" fillId="0" borderId="2" xfId="0" applyNumberFormat="1" applyFont="1" applyFill="1" applyBorder="1" applyAlignment="1" applyProtection="1">
      <alignment horizontal="center"/>
      <protection locked="0"/>
    </xf>
    <xf numFmtId="1" fontId="9" fillId="0" borderId="0" xfId="0" applyNumberFormat="1" applyFont="1" applyFill="1" applyBorder="1" applyAlignment="1"/>
    <xf numFmtId="2" fontId="9" fillId="0" borderId="0" xfId="0" applyNumberFormat="1" applyFont="1" applyFill="1" applyBorder="1" applyAlignment="1">
      <alignment horizontal="center"/>
    </xf>
    <xf numFmtId="1" fontId="9" fillId="0" borderId="0" xfId="0" applyNumberFormat="1" applyFont="1" applyFill="1" applyBorder="1" applyAlignment="1">
      <alignment horizontal="center"/>
    </xf>
    <xf numFmtId="1" fontId="5" fillId="0" borderId="0" xfId="0" applyNumberFormat="1" applyFont="1" applyFill="1" applyBorder="1" applyAlignment="1"/>
    <xf numFmtId="2" fontId="9" fillId="0" borderId="0" xfId="0" applyNumberFormat="1" applyFont="1" applyFill="1" applyBorder="1" applyAlignment="1"/>
    <xf numFmtId="166" fontId="5" fillId="0" borderId="2" xfId="0" applyNumberFormat="1" applyFont="1" applyFill="1" applyBorder="1" applyAlignment="1" applyProtection="1">
      <alignment horizontal="center"/>
      <protection locked="0"/>
    </xf>
    <xf numFmtId="1" fontId="5" fillId="3" borderId="5" xfId="0" applyNumberFormat="1" applyFont="1" applyFill="1" applyBorder="1" applyAlignment="1" applyProtection="1">
      <alignment horizontal="center"/>
    </xf>
    <xf numFmtId="1" fontId="5" fillId="5" borderId="2" xfId="0" applyNumberFormat="1" applyFont="1" applyFill="1" applyBorder="1" applyAlignment="1" applyProtection="1">
      <alignment horizontal="center"/>
      <protection locked="0"/>
    </xf>
    <xf numFmtId="2" fontId="5" fillId="4" borderId="8" xfId="0" applyNumberFormat="1" applyFont="1" applyFill="1" applyBorder="1" applyAlignment="1" applyProtection="1">
      <alignment horizontal="center"/>
    </xf>
    <xf numFmtId="166" fontId="5" fillId="4" borderId="5" xfId="0" applyNumberFormat="1" applyFont="1" applyFill="1" applyBorder="1" applyAlignment="1" applyProtection="1">
      <alignment horizontal="center"/>
    </xf>
    <xf numFmtId="2" fontId="5" fillId="4" borderId="5" xfId="0" applyNumberFormat="1" applyFont="1" applyFill="1" applyBorder="1" applyAlignment="1" applyProtection="1">
      <alignment horizontal="center"/>
    </xf>
    <xf numFmtId="1" fontId="5" fillId="3" borderId="9" xfId="0" applyNumberFormat="1" applyFont="1" applyFill="1" applyBorder="1" applyAlignment="1" applyProtection="1">
      <alignment horizontal="center"/>
      <protection locked="0"/>
    </xf>
    <xf numFmtId="1" fontId="5" fillId="3" borderId="10" xfId="0" applyNumberFormat="1" applyFont="1" applyFill="1" applyBorder="1" applyAlignment="1" applyProtection="1">
      <alignment horizontal="center"/>
      <protection locked="0"/>
    </xf>
    <xf numFmtId="1" fontId="5" fillId="3" borderId="11" xfId="0" applyNumberFormat="1" applyFont="1" applyFill="1" applyBorder="1" applyAlignment="1" applyProtection="1">
      <alignment horizontal="center"/>
      <protection locked="0"/>
    </xf>
    <xf numFmtId="1" fontId="5" fillId="5" borderId="5" xfId="0" applyNumberFormat="1" applyFont="1" applyFill="1" applyBorder="1" applyAlignment="1" applyProtection="1">
      <alignment horizontal="center"/>
      <protection locked="0"/>
    </xf>
    <xf numFmtId="166" fontId="5" fillId="5" borderId="5" xfId="0" applyNumberFormat="1" applyFont="1" applyFill="1" applyBorder="1" applyAlignment="1" applyProtection="1">
      <alignment horizontal="center"/>
      <protection locked="0"/>
    </xf>
    <xf numFmtId="1" fontId="5" fillId="3" borderId="8" xfId="0" applyNumberFormat="1" applyFont="1" applyFill="1" applyBorder="1" applyAlignment="1" applyProtection="1">
      <alignment horizontal="center"/>
      <protection locked="0"/>
    </xf>
    <xf numFmtId="1" fontId="5" fillId="3" borderId="12" xfId="0" applyNumberFormat="1" applyFont="1" applyFill="1" applyBorder="1" applyAlignment="1" applyProtection="1">
      <alignment horizontal="center"/>
      <protection locked="0"/>
    </xf>
    <xf numFmtId="2" fontId="9" fillId="0" borderId="0" xfId="0" applyNumberFormat="1" applyFont="1" applyFill="1" applyBorder="1" applyAlignment="1">
      <alignment horizontal="center" vertical="center" wrapText="1"/>
    </xf>
    <xf numFmtId="2" fontId="9" fillId="0" borderId="0" xfId="0" applyNumberFormat="1" applyFont="1" applyFill="1" applyBorder="1" applyAlignment="1">
      <alignment horizontal="center" vertical="center"/>
    </xf>
    <xf numFmtId="2" fontId="0" fillId="0" borderId="13" xfId="0" applyNumberFormat="1" applyBorder="1"/>
    <xf numFmtId="0" fontId="0" fillId="0" borderId="14" xfId="0" applyBorder="1"/>
    <xf numFmtId="167" fontId="0" fillId="0" borderId="14" xfId="0" applyNumberFormat="1" applyBorder="1"/>
    <xf numFmtId="2" fontId="0" fillId="0" borderId="14" xfId="0" applyNumberFormat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3" xfId="0" applyBorder="1"/>
    <xf numFmtId="0" fontId="9" fillId="7" borderId="1" xfId="0" applyFont="1" applyFill="1" applyBorder="1" applyAlignment="1">
      <alignment horizontal="left"/>
    </xf>
    <xf numFmtId="0" fontId="5" fillId="7" borderId="21" xfId="0" applyFont="1" applyFill="1" applyBorder="1" applyAlignment="1">
      <alignment horizontal="center"/>
    </xf>
    <xf numFmtId="0" fontId="5" fillId="7" borderId="22" xfId="0" applyFont="1" applyFill="1" applyBorder="1" applyAlignment="1">
      <alignment horizontal="center"/>
    </xf>
    <xf numFmtId="0" fontId="9" fillId="7" borderId="2" xfId="0" applyFont="1" applyFill="1" applyBorder="1"/>
    <xf numFmtId="0" fontId="5" fillId="7" borderId="2" xfId="0" applyFont="1" applyFill="1" applyBorder="1" applyAlignment="1">
      <alignment horizontal="center"/>
    </xf>
    <xf numFmtId="0" fontId="9" fillId="7" borderId="2" xfId="0" applyFont="1" applyFill="1" applyBorder="1" applyAlignment="1">
      <alignment horizontal="center"/>
    </xf>
    <xf numFmtId="165" fontId="5" fillId="7" borderId="5" xfId="0" applyNumberFormat="1" applyFont="1" applyFill="1" applyBorder="1" applyAlignment="1">
      <alignment horizontal="center"/>
    </xf>
    <xf numFmtId="166" fontId="5" fillId="7" borderId="5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right" vertical="center"/>
    </xf>
    <xf numFmtId="0" fontId="2" fillId="0" borderId="0" xfId="0" applyFont="1" applyFill="1" applyBorder="1" applyAlignment="1" applyProtection="1">
      <alignment horizontal="left" vertical="top"/>
      <protection locked="0"/>
    </xf>
    <xf numFmtId="0" fontId="2" fillId="0" borderId="0" xfId="0" applyFont="1" applyFill="1" applyAlignment="1">
      <alignment horizontal="left" vertical="center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165" fontId="2" fillId="0" borderId="24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/>
    </xf>
    <xf numFmtId="10" fontId="2" fillId="0" borderId="24" xfId="0" applyNumberFormat="1" applyFont="1" applyFill="1" applyBorder="1" applyAlignment="1">
      <alignment horizontal="center"/>
    </xf>
    <xf numFmtId="0" fontId="2" fillId="0" borderId="25" xfId="0" applyFont="1" applyFill="1" applyBorder="1" applyAlignment="1">
      <alignment horizontal="center"/>
    </xf>
    <xf numFmtId="0" fontId="2" fillId="0" borderId="26" xfId="0" applyFont="1" applyFill="1" applyBorder="1" applyAlignment="1" applyProtection="1">
      <alignment horizontal="center" vertical="center"/>
      <protection locked="0"/>
    </xf>
    <xf numFmtId="165" fontId="2" fillId="0" borderId="2" xfId="0" applyNumberFormat="1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/>
    </xf>
    <xf numFmtId="10" fontId="2" fillId="0" borderId="2" xfId="0" applyNumberFormat="1" applyFont="1" applyFill="1" applyBorder="1" applyAlignment="1">
      <alignment horizontal="center"/>
    </xf>
    <xf numFmtId="0" fontId="2" fillId="0" borderId="27" xfId="0" applyFont="1" applyFill="1" applyBorder="1" applyAlignment="1">
      <alignment horizontal="center"/>
    </xf>
    <xf numFmtId="0" fontId="2" fillId="0" borderId="26" xfId="0" applyFont="1" applyFill="1" applyBorder="1" applyAlignment="1" applyProtection="1">
      <alignment horizontal="center" vertical="top"/>
      <protection locked="0"/>
    </xf>
    <xf numFmtId="0" fontId="2" fillId="0" borderId="26" xfId="0" applyFont="1" applyFill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2" fontId="10" fillId="0" borderId="0" xfId="0" applyNumberFormat="1" applyFont="1" applyFill="1" applyBorder="1" applyAlignment="1">
      <alignment horizont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Alignment="1">
      <alignment horizontal="left"/>
    </xf>
    <xf numFmtId="0" fontId="3" fillId="7" borderId="28" xfId="1" applyFont="1" applyFill="1" applyBorder="1" applyAlignment="1" applyProtection="1">
      <alignment horizontal="center"/>
    </xf>
    <xf numFmtId="0" fontId="5" fillId="7" borderId="0" xfId="0" applyFont="1" applyFill="1" applyBorder="1" applyAlignment="1">
      <alignment horizontal="center"/>
    </xf>
    <xf numFmtId="0" fontId="5" fillId="7" borderId="12" xfId="0" applyFont="1" applyFill="1" applyBorder="1" applyAlignment="1">
      <alignment horizontal="center"/>
    </xf>
    <xf numFmtId="0" fontId="9" fillId="0" borderId="2" xfId="0" applyFont="1" applyBorder="1" applyAlignment="1">
      <alignment vertical="center"/>
    </xf>
    <xf numFmtId="0" fontId="2" fillId="0" borderId="0" xfId="0" applyFont="1" applyFill="1"/>
    <xf numFmtId="0" fontId="2" fillId="0" borderId="3" xfId="0" applyFont="1" applyFill="1" applyBorder="1"/>
    <xf numFmtId="0" fontId="2" fillId="0" borderId="1" xfId="0" applyFont="1" applyFill="1" applyBorder="1"/>
    <xf numFmtId="0" fontId="2" fillId="0" borderId="29" xfId="0" applyFont="1" applyFill="1" applyBorder="1"/>
    <xf numFmtId="0" fontId="2" fillId="0" borderId="4" xfId="0" applyFont="1" applyFill="1" applyBorder="1"/>
    <xf numFmtId="0" fontId="5" fillId="0" borderId="28" xfId="0" applyFont="1" applyFill="1" applyBorder="1"/>
    <xf numFmtId="0" fontId="5" fillId="0" borderId="26" xfId="0" applyFont="1" applyBorder="1"/>
    <xf numFmtId="0" fontId="5" fillId="0" borderId="3" xfId="0" applyFont="1" applyBorder="1" applyAlignment="1">
      <alignment horizontal="right"/>
    </xf>
    <xf numFmtId="0" fontId="5" fillId="0" borderId="3" xfId="0" quotePrefix="1" applyFont="1" applyBorder="1" applyAlignment="1">
      <alignment horizontal="right"/>
    </xf>
    <xf numFmtId="0" fontId="5" fillId="0" borderId="30" xfId="0" applyFont="1" applyBorder="1" applyAlignment="1">
      <alignment vertical="center"/>
    </xf>
    <xf numFmtId="14" fontId="5" fillId="5" borderId="31" xfId="0" applyNumberFormat="1" applyFont="1" applyFill="1" applyBorder="1" applyAlignment="1">
      <alignment horizontal="right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/>
    <xf numFmtId="0" fontId="5" fillId="0" borderId="6" xfId="0" applyFont="1" applyFill="1" applyBorder="1"/>
    <xf numFmtId="0" fontId="9" fillId="0" borderId="26" xfId="0" applyFont="1" applyFill="1" applyBorder="1" applyAlignment="1">
      <alignment horizontal="center"/>
    </xf>
    <xf numFmtId="0" fontId="9" fillId="0" borderId="2" xfId="0" applyFont="1" applyFill="1" applyBorder="1" applyAlignment="1">
      <alignment horizontal="center"/>
    </xf>
    <xf numFmtId="0" fontId="5" fillId="0" borderId="26" xfId="0" applyFont="1" applyFill="1" applyBorder="1"/>
    <xf numFmtId="0" fontId="5" fillId="0" borderId="27" xfId="0" applyFont="1" applyFill="1" applyBorder="1"/>
    <xf numFmtId="0" fontId="5" fillId="5" borderId="30" xfId="0" applyFont="1" applyFill="1" applyBorder="1" applyAlignment="1">
      <alignment horizontal="center"/>
    </xf>
    <xf numFmtId="0" fontId="5" fillId="0" borderId="32" xfId="0" applyFont="1" applyFill="1" applyBorder="1" applyAlignment="1">
      <alignment horizontal="center"/>
    </xf>
    <xf numFmtId="0" fontId="5" fillId="5" borderId="32" xfId="0" applyFont="1" applyFill="1" applyBorder="1" applyAlignment="1">
      <alignment horizontal="center"/>
    </xf>
    <xf numFmtId="0" fontId="5" fillId="0" borderId="30" xfId="0" applyFont="1" applyFill="1" applyBorder="1"/>
    <xf numFmtId="0" fontId="5" fillId="0" borderId="33" xfId="0" applyFont="1" applyFill="1" applyBorder="1"/>
    <xf numFmtId="0" fontId="9" fillId="0" borderId="26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horizontal="center" vertical="center" wrapText="1"/>
    </xf>
    <xf numFmtId="0" fontId="9" fillId="0" borderId="26" xfId="0" applyFont="1" applyFill="1" applyBorder="1" applyAlignment="1">
      <alignment horizontal="center" vertical="center" wrapText="1"/>
    </xf>
    <xf numFmtId="0" fontId="9" fillId="0" borderId="27" xfId="0" applyFont="1" applyFill="1" applyBorder="1" applyAlignment="1">
      <alignment horizontal="center" vertical="center" wrapText="1"/>
    </xf>
    <xf numFmtId="0" fontId="5" fillId="0" borderId="26" xfId="0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2" fontId="5" fillId="0" borderId="26" xfId="0" applyNumberFormat="1" applyFont="1" applyFill="1" applyBorder="1" applyAlignment="1">
      <alignment horizontal="center"/>
    </xf>
    <xf numFmtId="2" fontId="5" fillId="0" borderId="27" xfId="0" applyNumberFormat="1" applyFont="1" applyFill="1" applyBorder="1" applyAlignment="1">
      <alignment horizontal="center"/>
    </xf>
    <xf numFmtId="0" fontId="5" fillId="0" borderId="30" xfId="0" applyFont="1" applyFill="1" applyBorder="1" applyAlignment="1">
      <alignment horizontal="center"/>
    </xf>
    <xf numFmtId="0" fontId="5" fillId="0" borderId="31" xfId="0" applyFont="1" applyFill="1" applyBorder="1" applyAlignment="1">
      <alignment horizontal="center"/>
    </xf>
    <xf numFmtId="2" fontId="5" fillId="0" borderId="30" xfId="0" applyNumberFormat="1" applyFont="1" applyFill="1" applyBorder="1" applyAlignment="1">
      <alignment horizontal="center"/>
    </xf>
    <xf numFmtId="2" fontId="5" fillId="0" borderId="33" xfId="0" applyNumberFormat="1" applyFont="1" applyFill="1" applyBorder="1" applyAlignment="1">
      <alignment horizontal="center"/>
    </xf>
    <xf numFmtId="0" fontId="9" fillId="0" borderId="0" xfId="0" applyFont="1" applyFill="1" applyBorder="1" applyAlignment="1"/>
    <xf numFmtId="0" fontId="5" fillId="0" borderId="0" xfId="0" applyFont="1" applyFill="1" applyBorder="1"/>
    <xf numFmtId="0" fontId="2" fillId="0" borderId="22" xfId="0" applyFont="1" applyFill="1" applyBorder="1" applyAlignment="1">
      <alignment wrapText="1"/>
    </xf>
    <xf numFmtId="0" fontId="5" fillId="0" borderId="12" xfId="0" applyFont="1" applyFill="1" applyBorder="1" applyAlignment="1">
      <alignment wrapText="1"/>
    </xf>
    <xf numFmtId="0" fontId="5" fillId="0" borderId="8" xfId="0" applyFont="1" applyFill="1" applyBorder="1" applyAlignment="1">
      <alignment wrapText="1"/>
    </xf>
    <xf numFmtId="0" fontId="9" fillId="0" borderId="27" xfId="0" applyFont="1" applyFill="1" applyBorder="1" applyAlignment="1">
      <alignment horizontal="center" wrapText="1"/>
    </xf>
    <xf numFmtId="0" fontId="5" fillId="0" borderId="33" xfId="0" applyFont="1" applyFill="1" applyBorder="1" applyAlignment="1">
      <alignment horizontal="center" wrapText="1"/>
    </xf>
    <xf numFmtId="0" fontId="5" fillId="0" borderId="0" xfId="0" applyFont="1" applyFill="1" applyAlignment="1">
      <alignment wrapText="1"/>
    </xf>
    <xf numFmtId="0" fontId="5" fillId="0" borderId="2" xfId="0" applyFont="1" applyFill="1" applyBorder="1" applyAlignment="1">
      <alignment horizontal="center" wrapText="1"/>
    </xf>
    <xf numFmtId="0" fontId="5" fillId="0" borderId="32" xfId="0" applyFont="1" applyFill="1" applyBorder="1" applyAlignment="1">
      <alignment horizontal="center" wrapText="1"/>
    </xf>
    <xf numFmtId="0" fontId="5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28" xfId="0" applyFill="1" applyBorder="1"/>
    <xf numFmtId="14" fontId="5" fillId="0" borderId="0" xfId="0" applyNumberFormat="1" applyFont="1" applyFill="1" applyBorder="1" applyAlignment="1">
      <alignment horizontal="center"/>
    </xf>
    <xf numFmtId="0" fontId="5" fillId="0" borderId="5" xfId="0" applyFont="1" applyBorder="1" applyAlignment="1">
      <alignment horizontal="center"/>
    </xf>
    <xf numFmtId="169" fontId="5" fillId="4" borderId="5" xfId="0" applyNumberFormat="1" applyFont="1" applyFill="1" applyBorder="1" applyAlignment="1" applyProtection="1">
      <alignment horizontal="center"/>
      <protection locked="0"/>
    </xf>
    <xf numFmtId="0" fontId="5" fillId="0" borderId="2" xfId="0" applyFont="1" applyBorder="1" applyAlignment="1">
      <alignment horizontal="center"/>
    </xf>
    <xf numFmtId="170" fontId="5" fillId="4" borderId="2" xfId="0" applyNumberFormat="1" applyFont="1" applyFill="1" applyBorder="1" applyAlignment="1" applyProtection="1">
      <alignment horizontal="center"/>
      <protection locked="0"/>
    </xf>
    <xf numFmtId="167" fontId="5" fillId="0" borderId="2" xfId="0" applyNumberFormat="1" applyFont="1" applyBorder="1" applyAlignment="1">
      <alignment horizontal="center"/>
    </xf>
    <xf numFmtId="0" fontId="5" fillId="0" borderId="21" xfId="0" applyFont="1" applyFill="1" applyBorder="1"/>
    <xf numFmtId="0" fontId="9" fillId="0" borderId="0" xfId="0" applyFont="1" applyFill="1" applyBorder="1" applyAlignment="1">
      <alignment horizontal="center"/>
    </xf>
    <xf numFmtId="0" fontId="9" fillId="0" borderId="34" xfId="0" applyFont="1" applyBorder="1" applyAlignment="1">
      <alignment horizontal="center" vertical="center"/>
    </xf>
    <xf numFmtId="0" fontId="5" fillId="4" borderId="5" xfId="0" applyFont="1" applyFill="1" applyBorder="1" applyAlignment="1" applyProtection="1">
      <alignment horizontal="center"/>
      <protection locked="0"/>
    </xf>
    <xf numFmtId="2" fontId="5" fillId="0" borderId="5" xfId="0" applyNumberFormat="1" applyFont="1" applyBorder="1" applyAlignment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  <protection locked="0"/>
    </xf>
    <xf numFmtId="1" fontId="5" fillId="0" borderId="5" xfId="0" applyNumberFormat="1" applyFont="1" applyBorder="1" applyAlignment="1">
      <alignment horizontal="center" vertical="center"/>
    </xf>
    <xf numFmtId="166" fontId="5" fillId="5" borderId="5" xfId="0" applyNumberFormat="1" applyFont="1" applyFill="1" applyBorder="1" applyAlignment="1">
      <alignment horizontal="center" vertical="center"/>
    </xf>
    <xf numFmtId="0" fontId="5" fillId="4" borderId="5" xfId="0" quotePrefix="1" applyFont="1" applyFill="1" applyBorder="1" applyAlignment="1" applyProtection="1">
      <alignment horizontal="center"/>
      <protection locked="0"/>
    </xf>
    <xf numFmtId="0" fontId="5" fillId="4" borderId="2" xfId="0" applyFont="1" applyFill="1" applyBorder="1" applyAlignment="1" applyProtection="1">
      <alignment horizontal="center"/>
      <protection locked="0"/>
    </xf>
    <xf numFmtId="0" fontId="5" fillId="4" borderId="2" xfId="0" applyFont="1" applyFill="1" applyBorder="1" applyAlignment="1" applyProtection="1">
      <alignment horizontal="center" vertical="center"/>
      <protection locked="0"/>
    </xf>
    <xf numFmtId="1" fontId="5" fillId="0" borderId="2" xfId="0" applyNumberFormat="1" applyFont="1" applyBorder="1" applyAlignment="1">
      <alignment horizontal="center" vertical="center"/>
    </xf>
    <xf numFmtId="0" fontId="5" fillId="0" borderId="1" xfId="0" applyFont="1" applyFill="1" applyBorder="1"/>
    <xf numFmtId="0" fontId="5" fillId="0" borderId="22" xfId="0" applyFont="1" applyFill="1" applyBorder="1"/>
    <xf numFmtId="0" fontId="9" fillId="2" borderId="2" xfId="0" applyFont="1" applyFill="1" applyBorder="1" applyAlignment="1">
      <alignment horizontal="center" vertical="center" wrapText="1"/>
    </xf>
    <xf numFmtId="2" fontId="5" fillId="2" borderId="3" xfId="0" applyNumberFormat="1" applyFont="1" applyFill="1" applyBorder="1" applyAlignment="1">
      <alignment horizontal="center" vertical="center"/>
    </xf>
    <xf numFmtId="165" fontId="8" fillId="2" borderId="2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center" vertical="center"/>
    </xf>
    <xf numFmtId="165" fontId="8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 wrapText="1"/>
    </xf>
    <xf numFmtId="0" fontId="5" fillId="2" borderId="2" xfId="0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9" fillId="0" borderId="2" xfId="0" applyFont="1" applyBorder="1" applyAlignment="1">
      <alignment horizontal="left" vertical="center"/>
    </xf>
    <xf numFmtId="0" fontId="9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9" fillId="0" borderId="35" xfId="0" applyFont="1" applyFill="1" applyBorder="1" applyAlignment="1">
      <alignment vertical="center"/>
    </xf>
    <xf numFmtId="0" fontId="5" fillId="0" borderId="35" xfId="0" applyFont="1" applyFill="1" applyBorder="1" applyAlignment="1">
      <alignment vertical="center"/>
    </xf>
    <xf numFmtId="0" fontId="5" fillId="2" borderId="35" xfId="0" applyFont="1" applyFill="1" applyBorder="1" applyAlignment="1">
      <alignment vertical="center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 wrapText="1"/>
    </xf>
    <xf numFmtId="0" fontId="5" fillId="0" borderId="0" xfId="0" applyFont="1" applyFill="1" applyBorder="1" applyAlignment="1" applyProtection="1">
      <alignment vertical="center"/>
      <protection locked="0"/>
    </xf>
    <xf numFmtId="0" fontId="9" fillId="0" borderId="35" xfId="0" applyFont="1" applyFill="1" applyBorder="1" applyAlignment="1"/>
    <xf numFmtId="2" fontId="3" fillId="0" borderId="21" xfId="1" applyNumberFormat="1" applyFont="1" applyFill="1" applyBorder="1" applyAlignment="1" applyProtection="1"/>
    <xf numFmtId="165" fontId="5" fillId="7" borderId="2" xfId="0" applyNumberFormat="1" applyFont="1" applyFill="1" applyBorder="1" applyAlignment="1">
      <alignment horizontal="center"/>
    </xf>
    <xf numFmtId="166" fontId="5" fillId="7" borderId="2" xfId="0" applyNumberFormat="1" applyFont="1" applyFill="1" applyBorder="1" applyAlignment="1">
      <alignment horizontal="center"/>
    </xf>
    <xf numFmtId="0" fontId="4" fillId="6" borderId="0" xfId="0" applyFont="1" applyFill="1" applyProtection="1">
      <protection locked="0"/>
    </xf>
    <xf numFmtId="0" fontId="4" fillId="0" borderId="0" xfId="0" applyFont="1" applyProtection="1">
      <protection locked="0"/>
    </xf>
    <xf numFmtId="0" fontId="4" fillId="0" borderId="0" xfId="0" applyFont="1" applyFill="1" applyProtection="1">
      <protection locked="0"/>
    </xf>
    <xf numFmtId="0" fontId="4" fillId="4" borderId="0" xfId="0" applyFont="1" applyFill="1" applyProtection="1">
      <protection locked="0"/>
    </xf>
    <xf numFmtId="2" fontId="4" fillId="0" borderId="0" xfId="0" applyNumberFormat="1" applyFont="1" applyFill="1" applyProtection="1">
      <protection locked="0"/>
    </xf>
    <xf numFmtId="2" fontId="4" fillId="0" borderId="0" xfId="0" applyNumberFormat="1" applyFont="1" applyProtection="1">
      <protection locked="0"/>
    </xf>
    <xf numFmtId="0" fontId="4" fillId="0" borderId="36" xfId="0" applyFont="1" applyBorder="1" applyProtection="1">
      <protection locked="0"/>
    </xf>
    <xf numFmtId="0" fontId="4" fillId="4" borderId="37" xfId="0" applyFont="1" applyFill="1" applyBorder="1" applyProtection="1">
      <protection locked="0"/>
    </xf>
    <xf numFmtId="0" fontId="4" fillId="4" borderId="38" xfId="0" applyFont="1" applyFill="1" applyBorder="1" applyProtection="1">
      <protection locked="0"/>
    </xf>
    <xf numFmtId="166" fontId="5" fillId="5" borderId="3" xfId="0" applyNumberFormat="1" applyFont="1" applyFill="1" applyBorder="1" applyAlignment="1" applyProtection="1"/>
    <xf numFmtId="166" fontId="5" fillId="5" borderId="2" xfId="0" applyNumberFormat="1" applyFont="1" applyFill="1" applyBorder="1" applyAlignment="1" applyProtection="1"/>
    <xf numFmtId="166" fontId="5" fillId="5" borderId="29" xfId="0" applyNumberFormat="1" applyFont="1" applyFill="1" applyBorder="1" applyAlignment="1" applyProtection="1"/>
    <xf numFmtId="1" fontId="5" fillId="3" borderId="39" xfId="0" applyNumberFormat="1" applyFont="1" applyFill="1" applyBorder="1" applyAlignment="1" applyProtection="1">
      <alignment horizontal="center"/>
    </xf>
    <xf numFmtId="1" fontId="5" fillId="3" borderId="40" xfId="0" applyNumberFormat="1" applyFont="1" applyFill="1" applyBorder="1" applyAlignment="1" applyProtection="1">
      <alignment horizontal="center"/>
    </xf>
    <xf numFmtId="0" fontId="9" fillId="0" borderId="2" xfId="0" applyFont="1" applyBorder="1"/>
    <xf numFmtId="0" fontId="0" fillId="3" borderId="2" xfId="0" applyFill="1" applyBorder="1"/>
    <xf numFmtId="0" fontId="9" fillId="0" borderId="2" xfId="0" applyFont="1" applyFill="1" applyBorder="1"/>
    <xf numFmtId="0" fontId="4" fillId="0" borderId="0" xfId="0" applyFont="1"/>
    <xf numFmtId="1" fontId="0" fillId="0" borderId="0" xfId="0" applyNumberFormat="1"/>
    <xf numFmtId="2" fontId="0" fillId="0" borderId="0" xfId="0" applyNumberFormat="1"/>
    <xf numFmtId="1" fontId="4" fillId="0" borderId="0" xfId="0" applyNumberFormat="1" applyFont="1"/>
    <xf numFmtId="0" fontId="4" fillId="3" borderId="2" xfId="0" applyFont="1" applyFill="1" applyBorder="1"/>
    <xf numFmtId="2" fontId="4" fillId="4" borderId="8" xfId="0" applyNumberFormat="1" applyFont="1" applyFill="1" applyBorder="1" applyAlignment="1" applyProtection="1">
      <alignment horizontal="center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Border="1" applyAlignment="1">
      <alignment horizontal="center"/>
    </xf>
    <xf numFmtId="166" fontId="5" fillId="5" borderId="2" xfId="0" applyNumberFormat="1" applyFont="1" applyFill="1" applyBorder="1" applyAlignment="1">
      <alignment vertical="center"/>
    </xf>
    <xf numFmtId="165" fontId="5" fillId="5" borderId="2" xfId="0" applyNumberFormat="1" applyFont="1" applyFill="1" applyBorder="1" applyAlignment="1">
      <alignment vertical="center"/>
    </xf>
    <xf numFmtId="1" fontId="5" fillId="4" borderId="8" xfId="0" applyNumberFormat="1" applyFont="1" applyFill="1" applyBorder="1" applyAlignment="1" applyProtection="1">
      <alignment horizontal="center"/>
    </xf>
    <xf numFmtId="165" fontId="5" fillId="5" borderId="2" xfId="0" applyNumberFormat="1" applyFont="1" applyFill="1" applyBorder="1" applyAlignment="1" applyProtection="1">
      <alignment horizontal="center"/>
    </xf>
    <xf numFmtId="0" fontId="9" fillId="0" borderId="6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2" fontId="5" fillId="8" borderId="5" xfId="0" applyNumberFormat="1" applyFont="1" applyFill="1" applyBorder="1" applyAlignment="1" applyProtection="1">
      <alignment horizontal="center"/>
    </xf>
    <xf numFmtId="165" fontId="5" fillId="8" borderId="5" xfId="0" applyNumberFormat="1" applyFont="1" applyFill="1" applyBorder="1" applyAlignment="1" applyProtection="1">
      <alignment horizontal="center"/>
    </xf>
    <xf numFmtId="0" fontId="1" fillId="0" borderId="0" xfId="0" applyFont="1"/>
    <xf numFmtId="165" fontId="5" fillId="0" borderId="0" xfId="0" applyNumberFormat="1" applyFont="1" applyFill="1" applyBorder="1" applyAlignment="1" applyProtection="1">
      <alignment horizontal="center"/>
    </xf>
    <xf numFmtId="2" fontId="1" fillId="8" borderId="5" xfId="0" applyNumberFormat="1" applyFont="1" applyFill="1" applyBorder="1" applyAlignment="1" applyProtection="1">
      <alignment horizontal="center"/>
    </xf>
    <xf numFmtId="1" fontId="5" fillId="0" borderId="0" xfId="0" applyNumberFormat="1" applyFont="1" applyFill="1" applyBorder="1" applyAlignment="1" applyProtection="1">
      <alignment horizontal="center"/>
      <protection locked="0"/>
    </xf>
    <xf numFmtId="165" fontId="5" fillId="2" borderId="8" xfId="0" applyNumberFormat="1" applyFont="1" applyFill="1" applyBorder="1" applyAlignment="1">
      <alignment horizontal="center"/>
    </xf>
    <xf numFmtId="171" fontId="5" fillId="5" borderId="2" xfId="0" applyNumberFormat="1" applyFont="1" applyFill="1" applyBorder="1" applyAlignment="1">
      <alignment vertical="center"/>
    </xf>
    <xf numFmtId="0" fontId="9" fillId="0" borderId="2" xfId="0" applyFont="1" applyBorder="1" applyAlignment="1">
      <alignment horizontal="center"/>
    </xf>
    <xf numFmtId="0" fontId="9" fillId="0" borderId="34" xfId="0" applyFont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 applyProtection="1">
      <alignment horizontal="center" vertical="center"/>
    </xf>
    <xf numFmtId="1" fontId="1" fillId="5" borderId="2" xfId="0" applyNumberFormat="1" applyFont="1" applyFill="1" applyBorder="1" applyAlignment="1" applyProtection="1">
      <alignment horizontal="center" vertical="center"/>
      <protection locked="0"/>
    </xf>
    <xf numFmtId="1" fontId="1" fillId="3" borderId="2" xfId="0" applyNumberFormat="1" applyFont="1" applyFill="1" applyBorder="1" applyAlignment="1" applyProtection="1">
      <alignment horizontal="center" vertical="center"/>
      <protection locked="0"/>
    </xf>
    <xf numFmtId="1" fontId="1" fillId="5" borderId="5" xfId="0" applyNumberFormat="1" applyFont="1" applyFill="1" applyBorder="1" applyAlignment="1" applyProtection="1">
      <alignment horizontal="center" vertical="center"/>
      <protection locked="0"/>
    </xf>
    <xf numFmtId="49" fontId="1" fillId="3" borderId="2" xfId="0" quotePrefix="1" applyNumberFormat="1" applyFont="1" applyFill="1" applyBorder="1"/>
    <xf numFmtId="166" fontId="1" fillId="5" borderId="3" xfId="0" applyNumberFormat="1" applyFont="1" applyFill="1" applyBorder="1" applyAlignment="1" applyProtection="1"/>
    <xf numFmtId="0" fontId="9" fillId="0" borderId="2" xfId="0" applyFont="1" applyBorder="1" applyAlignment="1">
      <alignment horizontal="left" vertical="center" wrapText="1"/>
    </xf>
    <xf numFmtId="2" fontId="9" fillId="2" borderId="2" xfId="0" applyNumberFormat="1" applyFont="1" applyFill="1" applyBorder="1" applyAlignment="1">
      <alignment horizontal="center"/>
    </xf>
    <xf numFmtId="0" fontId="9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/>
    </xf>
    <xf numFmtId="0" fontId="9" fillId="0" borderId="29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7" borderId="2" xfId="0" applyFont="1" applyFill="1" applyBorder="1" applyAlignment="1">
      <alignment horizontal="center"/>
    </xf>
    <xf numFmtId="0" fontId="9" fillId="7" borderId="1" xfId="0" applyFont="1" applyFill="1" applyBorder="1" applyAlignment="1">
      <alignment horizontal="center" vertical="center" wrapText="1"/>
    </xf>
    <xf numFmtId="0" fontId="9" fillId="7" borderId="21" xfId="0" applyFont="1" applyFill="1" applyBorder="1" applyAlignment="1">
      <alignment horizontal="center" vertical="center" wrapText="1"/>
    </xf>
    <xf numFmtId="0" fontId="9" fillId="7" borderId="22" xfId="0" applyFont="1" applyFill="1" applyBorder="1" applyAlignment="1">
      <alignment horizontal="center" vertical="center" wrapText="1"/>
    </xf>
    <xf numFmtId="0" fontId="9" fillId="7" borderId="28" xfId="0" applyFont="1" applyFill="1" applyBorder="1" applyAlignment="1">
      <alignment horizontal="center" vertical="center" wrapText="1"/>
    </xf>
    <xf numFmtId="0" fontId="9" fillId="7" borderId="0" xfId="0" applyFont="1" applyFill="1" applyBorder="1" applyAlignment="1">
      <alignment horizontal="center" vertical="center" wrapText="1"/>
    </xf>
    <xf numFmtId="0" fontId="9" fillId="7" borderId="12" xfId="0" applyFont="1" applyFill="1" applyBorder="1" applyAlignment="1">
      <alignment horizontal="center" vertical="center" wrapText="1"/>
    </xf>
    <xf numFmtId="0" fontId="9" fillId="7" borderId="6" xfId="0" applyFont="1" applyFill="1" applyBorder="1" applyAlignment="1">
      <alignment horizontal="center" vertical="center" wrapText="1"/>
    </xf>
    <xf numFmtId="0" fontId="9" fillId="7" borderId="35" xfId="0" applyFont="1" applyFill="1" applyBorder="1" applyAlignment="1">
      <alignment horizontal="center" vertical="center" wrapText="1"/>
    </xf>
    <xf numFmtId="0" fontId="9" fillId="7" borderId="8" xfId="0" applyFont="1" applyFill="1" applyBorder="1" applyAlignment="1">
      <alignment horizontal="center" vertical="center" wrapText="1"/>
    </xf>
    <xf numFmtId="0" fontId="9" fillId="7" borderId="3" xfId="0" applyFont="1" applyFill="1" applyBorder="1" applyAlignment="1">
      <alignment horizontal="center"/>
    </xf>
    <xf numFmtId="0" fontId="9" fillId="7" borderId="29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9" fillId="7" borderId="2" xfId="0" applyFont="1" applyFill="1" applyBorder="1" applyAlignment="1" applyProtection="1">
      <alignment horizontal="center"/>
      <protection locked="0"/>
    </xf>
    <xf numFmtId="2" fontId="9" fillId="0" borderId="2" xfId="0" applyNumberFormat="1" applyFont="1" applyFill="1" applyBorder="1" applyAlignment="1">
      <alignment horizontal="center" vertical="center" wrapText="1"/>
    </xf>
    <xf numFmtId="2" fontId="9" fillId="0" borderId="3" xfId="0" applyNumberFormat="1" applyFont="1" applyFill="1" applyBorder="1" applyAlignment="1">
      <alignment horizontal="center"/>
    </xf>
    <xf numFmtId="2" fontId="9" fillId="0" borderId="29" xfId="0" applyNumberFormat="1" applyFont="1" applyFill="1" applyBorder="1" applyAlignment="1">
      <alignment horizontal="center"/>
    </xf>
    <xf numFmtId="2" fontId="9" fillId="0" borderId="4" xfId="0" applyNumberFormat="1" applyFont="1" applyFill="1" applyBorder="1" applyAlignment="1">
      <alignment horizontal="center"/>
    </xf>
    <xf numFmtId="2" fontId="9" fillId="0" borderId="2" xfId="0" applyNumberFormat="1" applyFont="1" applyFill="1" applyBorder="1" applyAlignment="1">
      <alignment horizontal="center"/>
    </xf>
    <xf numFmtId="2" fontId="9" fillId="0" borderId="34" xfId="0" applyNumberFormat="1" applyFont="1" applyFill="1" applyBorder="1" applyAlignment="1">
      <alignment horizontal="center" vertical="center" wrapText="1"/>
    </xf>
    <xf numFmtId="2" fontId="9" fillId="0" borderId="5" xfId="0" applyNumberFormat="1" applyFont="1" applyFill="1" applyBorder="1" applyAlignment="1">
      <alignment horizontal="center" vertical="center" wrapText="1"/>
    </xf>
    <xf numFmtId="2" fontId="9" fillId="0" borderId="4" xfId="0" applyNumberFormat="1" applyFont="1" applyFill="1" applyBorder="1" applyAlignment="1">
      <alignment horizontal="center" vertical="center"/>
    </xf>
    <xf numFmtId="2" fontId="9" fillId="0" borderId="2" xfId="0" applyNumberFormat="1" applyFont="1" applyFill="1" applyBorder="1" applyAlignment="1">
      <alignment horizontal="center" vertical="center"/>
    </xf>
    <xf numFmtId="2" fontId="9" fillId="5" borderId="2" xfId="0" applyNumberFormat="1" applyFont="1" applyFill="1" applyBorder="1" applyAlignment="1">
      <alignment horizontal="center" vertical="center" textRotation="90"/>
    </xf>
    <xf numFmtId="2" fontId="9" fillId="5" borderId="3" xfId="0" applyNumberFormat="1" applyFont="1" applyFill="1" applyBorder="1" applyAlignment="1">
      <alignment horizontal="center" vertical="center" textRotation="90"/>
    </xf>
    <xf numFmtId="2" fontId="9" fillId="5" borderId="9" xfId="0" applyNumberFormat="1" applyFont="1" applyFill="1" applyBorder="1" applyAlignment="1">
      <alignment horizontal="center" vertical="center" textRotation="90"/>
    </xf>
    <xf numFmtId="0" fontId="5" fillId="0" borderId="9" xfId="0" applyFont="1" applyBorder="1"/>
    <xf numFmtId="0" fontId="5" fillId="0" borderId="28" xfId="0" applyFont="1" applyBorder="1"/>
    <xf numFmtId="0" fontId="5" fillId="0" borderId="5" xfId="0" applyFont="1" applyBorder="1"/>
    <xf numFmtId="2" fontId="9" fillId="2" borderId="2" xfId="0" applyNumberFormat="1" applyFont="1" applyFill="1" applyBorder="1" applyAlignment="1">
      <alignment horizontal="center"/>
    </xf>
    <xf numFmtId="0" fontId="5" fillId="3" borderId="2" xfId="0" applyFont="1" applyFill="1" applyBorder="1" applyAlignment="1" applyProtection="1">
      <alignment horizontal="left" vertical="center"/>
      <protection locked="0"/>
    </xf>
    <xf numFmtId="2" fontId="9" fillId="2" borderId="3" xfId="0" applyNumberFormat="1" applyFont="1" applyFill="1" applyBorder="1" applyAlignment="1">
      <alignment horizontal="center"/>
    </xf>
    <xf numFmtId="2" fontId="9" fillId="2" borderId="4" xfId="0" applyNumberFormat="1" applyFont="1" applyFill="1" applyBorder="1" applyAlignment="1">
      <alignment horizontal="center"/>
    </xf>
    <xf numFmtId="2" fontId="5" fillId="3" borderId="3" xfId="0" applyNumberFormat="1" applyFont="1" applyFill="1" applyBorder="1" applyAlignment="1" applyProtection="1">
      <alignment horizontal="center"/>
      <protection locked="0"/>
    </xf>
    <xf numFmtId="2" fontId="5" fillId="3" borderId="29" xfId="0" applyNumberFormat="1" applyFont="1" applyFill="1" applyBorder="1" applyAlignment="1" applyProtection="1">
      <alignment horizontal="center"/>
      <protection locked="0"/>
    </xf>
    <xf numFmtId="2" fontId="5" fillId="3" borderId="4" xfId="0" applyNumberFormat="1" applyFont="1" applyFill="1" applyBorder="1" applyAlignment="1" applyProtection="1">
      <alignment horizontal="center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 applyProtection="1">
      <alignment horizontal="center" vertical="center"/>
      <protection locked="0"/>
    </xf>
    <xf numFmtId="0" fontId="5" fillId="3" borderId="4" xfId="0" applyFont="1" applyFill="1" applyBorder="1" applyAlignment="1" applyProtection="1">
      <alignment horizontal="center" vertical="center"/>
      <protection locked="0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66" fontId="5" fillId="3" borderId="3" xfId="0" applyNumberFormat="1" applyFont="1" applyFill="1" applyBorder="1" applyAlignment="1" applyProtection="1">
      <alignment horizontal="center"/>
      <protection locked="0"/>
    </xf>
    <xf numFmtId="166" fontId="5" fillId="3" borderId="29" xfId="0" applyNumberFormat="1" applyFont="1" applyFill="1" applyBorder="1" applyAlignment="1" applyProtection="1">
      <alignment horizontal="center"/>
      <protection locked="0"/>
    </xf>
    <xf numFmtId="166" fontId="5" fillId="3" borderId="4" xfId="0" applyNumberFormat="1" applyFont="1" applyFill="1" applyBorder="1" applyAlignment="1" applyProtection="1">
      <alignment horizontal="center"/>
      <protection locked="0"/>
    </xf>
    <xf numFmtId="0" fontId="9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 vertical="center"/>
    </xf>
    <xf numFmtId="164" fontId="9" fillId="0" borderId="2" xfId="2" applyFont="1" applyBorder="1" applyAlignment="1">
      <alignment horizontal="center" vertical="center"/>
    </xf>
    <xf numFmtId="0" fontId="5" fillId="3" borderId="9" xfId="0" applyFont="1" applyFill="1" applyBorder="1" applyAlignment="1" applyProtection="1">
      <alignment horizontal="left" vertical="center"/>
      <protection locked="0"/>
    </xf>
    <xf numFmtId="2" fontId="9" fillId="2" borderId="29" xfId="0" applyNumberFormat="1" applyFont="1" applyFill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4" xfId="0" applyBorder="1" applyAlignment="1">
      <alignment horizontal="center"/>
    </xf>
    <xf numFmtId="164" fontId="9" fillId="0" borderId="3" xfId="2" applyFont="1" applyBorder="1" applyAlignment="1">
      <alignment horizontal="center" vertical="center"/>
    </xf>
    <xf numFmtId="164" fontId="9" fillId="0" borderId="4" xfId="2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35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3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165" fontId="5" fillId="0" borderId="34" xfId="0" applyNumberFormat="1" applyFont="1" applyBorder="1" applyAlignment="1">
      <alignment horizontal="center" vertical="center"/>
    </xf>
    <xf numFmtId="165" fontId="5" fillId="0" borderId="9" xfId="0" applyNumberFormat="1" applyFont="1" applyBorder="1" applyAlignment="1">
      <alignment horizontal="center" vertical="center"/>
    </xf>
    <xf numFmtId="165" fontId="5" fillId="0" borderId="5" xfId="0" applyNumberFormat="1" applyFont="1" applyBorder="1" applyAlignment="1">
      <alignment horizontal="center" vertical="center"/>
    </xf>
    <xf numFmtId="2" fontId="5" fillId="5" borderId="34" xfId="0" applyNumberFormat="1" applyFont="1" applyFill="1" applyBorder="1" applyAlignment="1">
      <alignment horizontal="center" vertical="center"/>
    </xf>
    <xf numFmtId="2" fontId="5" fillId="5" borderId="9" xfId="0" applyNumberFormat="1" applyFont="1" applyFill="1" applyBorder="1" applyAlignment="1">
      <alignment horizontal="center" vertical="center"/>
    </xf>
    <xf numFmtId="2" fontId="5" fillId="5" borderId="5" xfId="0" applyNumberFormat="1" applyFont="1" applyFill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wrapText="1"/>
    </xf>
    <xf numFmtId="0" fontId="9" fillId="0" borderId="34" xfId="0" applyFont="1" applyBorder="1" applyAlignment="1">
      <alignment horizontal="center" vertical="center"/>
    </xf>
    <xf numFmtId="0" fontId="17" fillId="0" borderId="34" xfId="0" applyFont="1" applyBorder="1" applyAlignment="1">
      <alignment horizontal="right" vertical="center" textRotation="90"/>
    </xf>
    <xf numFmtId="0" fontId="17" fillId="0" borderId="9" xfId="0" applyFont="1" applyBorder="1" applyAlignment="1">
      <alignment horizontal="right" vertical="center" textRotation="90"/>
    </xf>
    <xf numFmtId="0" fontId="17" fillId="0" borderId="5" xfId="0" applyFont="1" applyBorder="1" applyAlignment="1">
      <alignment horizontal="right" vertical="center" textRotation="90"/>
    </xf>
    <xf numFmtId="166" fontId="5" fillId="0" borderId="34" xfId="0" applyNumberFormat="1" applyFont="1" applyBorder="1" applyAlignment="1">
      <alignment horizontal="center" vertical="center"/>
    </xf>
    <xf numFmtId="166" fontId="5" fillId="0" borderId="5" xfId="0" applyNumberFormat="1" applyFont="1" applyBorder="1" applyAlignment="1">
      <alignment horizontal="center" vertical="center"/>
    </xf>
    <xf numFmtId="165" fontId="8" fillId="0" borderId="34" xfId="0" applyNumberFormat="1" applyFont="1" applyBorder="1" applyAlignment="1">
      <alignment horizontal="center" vertical="center"/>
    </xf>
    <xf numFmtId="165" fontId="8" fillId="0" borderId="5" xfId="0" applyNumberFormat="1" applyFont="1" applyBorder="1" applyAlignment="1">
      <alignment horizontal="center" vertical="center"/>
    </xf>
    <xf numFmtId="2" fontId="5" fillId="0" borderId="34" xfId="0" applyNumberFormat="1" applyFont="1" applyBorder="1" applyAlignment="1">
      <alignment horizontal="center" vertical="center"/>
    </xf>
    <xf numFmtId="2" fontId="5" fillId="0" borderId="5" xfId="0" applyNumberFormat="1" applyFont="1" applyBorder="1" applyAlignment="1">
      <alignment horizontal="center" vertical="center"/>
    </xf>
    <xf numFmtId="166" fontId="5" fillId="0" borderId="9" xfId="0" applyNumberFormat="1" applyFont="1" applyBorder="1" applyAlignment="1">
      <alignment horizontal="center" vertical="center"/>
    </xf>
    <xf numFmtId="2" fontId="5" fillId="0" borderId="9" xfId="0" applyNumberFormat="1" applyFont="1" applyBorder="1" applyAlignment="1">
      <alignment horizontal="center" vertical="center"/>
    </xf>
    <xf numFmtId="0" fontId="5" fillId="3" borderId="4" xfId="0" applyFont="1" applyFill="1" applyBorder="1" applyAlignment="1" applyProtection="1">
      <alignment horizontal="center" vertical="center"/>
    </xf>
    <xf numFmtId="0" fontId="5" fillId="3" borderId="2" xfId="0" applyFont="1" applyFill="1" applyBorder="1" applyAlignment="1" applyProtection="1">
      <alignment horizontal="center" vertical="center"/>
    </xf>
    <xf numFmtId="0" fontId="5" fillId="5" borderId="34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0" borderId="34" xfId="0" applyFont="1" applyBorder="1"/>
    <xf numFmtId="167" fontId="9" fillId="0" borderId="2" xfId="0" applyNumberFormat="1" applyFont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wrapText="1"/>
    </xf>
    <xf numFmtId="0" fontId="9" fillId="0" borderId="21" xfId="0" applyFont="1" applyBorder="1" applyAlignment="1">
      <alignment horizontal="center" wrapText="1"/>
    </xf>
    <xf numFmtId="0" fontId="9" fillId="0" borderId="22" xfId="0" applyFont="1" applyBorder="1" applyAlignment="1">
      <alignment horizontal="center" wrapText="1"/>
    </xf>
    <xf numFmtId="0" fontId="9" fillId="0" borderId="6" xfId="0" applyFont="1" applyBorder="1" applyAlignment="1">
      <alignment horizontal="center" wrapText="1"/>
    </xf>
    <xf numFmtId="0" fontId="9" fillId="0" borderId="35" xfId="0" applyFont="1" applyBorder="1" applyAlignment="1">
      <alignment horizontal="center" wrapText="1"/>
    </xf>
    <xf numFmtId="0" fontId="9" fillId="0" borderId="8" xfId="0" applyFont="1" applyBorder="1" applyAlignment="1">
      <alignment horizontal="center" wrapText="1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1" fillId="3" borderId="4" xfId="0" applyFont="1" applyFill="1" applyBorder="1" applyAlignment="1" applyProtection="1">
      <alignment horizontal="center" vertical="center"/>
      <protection locked="0"/>
    </xf>
    <xf numFmtId="0" fontId="1" fillId="3" borderId="3" xfId="0" applyFont="1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9" fillId="2" borderId="2" xfId="0" applyFont="1" applyFill="1" applyBorder="1" applyAlignment="1">
      <alignment horizontal="center" vertical="center"/>
    </xf>
    <xf numFmtId="2" fontId="9" fillId="5" borderId="2" xfId="0" applyNumberFormat="1" applyFont="1" applyFill="1" applyBorder="1" applyAlignment="1">
      <alignment horizontal="center"/>
    </xf>
    <xf numFmtId="0" fontId="9" fillId="5" borderId="3" xfId="0" applyFont="1" applyFill="1" applyBorder="1" applyAlignment="1">
      <alignment horizontal="center"/>
    </xf>
    <xf numFmtId="0" fontId="9" fillId="5" borderId="29" xfId="0" applyFont="1" applyFill="1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2" fontId="9" fillId="3" borderId="2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166" fontId="5" fillId="5" borderId="2" xfId="0" applyNumberFormat="1" applyFont="1" applyFill="1" applyBorder="1" applyAlignment="1" applyProtection="1">
      <alignment horizontal="center"/>
    </xf>
    <xf numFmtId="0" fontId="9" fillId="2" borderId="34" xfId="0" applyFont="1" applyFill="1" applyBorder="1" applyAlignment="1">
      <alignment horizontal="center" wrapText="1"/>
    </xf>
    <xf numFmtId="0" fontId="9" fillId="2" borderId="5" xfId="0" applyFont="1" applyFill="1" applyBorder="1" applyAlignment="1">
      <alignment horizontal="center" wrapText="1"/>
    </xf>
    <xf numFmtId="0" fontId="9" fillId="2" borderId="5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166" fontId="5" fillId="4" borderId="2" xfId="0" applyNumberFormat="1" applyFont="1" applyFill="1" applyBorder="1" applyAlignment="1" applyProtection="1">
      <alignment horizontal="center"/>
      <protection locked="0"/>
    </xf>
    <xf numFmtId="166" fontId="5" fillId="4" borderId="5" xfId="0" applyNumberFormat="1" applyFont="1" applyFill="1" applyBorder="1" applyAlignment="1" applyProtection="1">
      <alignment horizontal="center"/>
      <protection locked="0"/>
    </xf>
    <xf numFmtId="0" fontId="5" fillId="2" borderId="6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9" fillId="0" borderId="23" xfId="0" applyFont="1" applyFill="1" applyBorder="1" applyAlignment="1">
      <alignment horizontal="center"/>
    </xf>
    <xf numFmtId="0" fontId="9" fillId="0" borderId="25" xfId="0" applyFont="1" applyFill="1" applyBorder="1" applyAlignment="1">
      <alignment horizontal="center"/>
    </xf>
    <xf numFmtId="0" fontId="4" fillId="6" borderId="0" xfId="0" applyFont="1" applyFill="1" applyAlignment="1" applyProtection="1">
      <alignment horizontal="center"/>
      <protection locked="0"/>
    </xf>
    <xf numFmtId="0" fontId="9" fillId="0" borderId="41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24" xfId="0" applyFont="1" applyFill="1" applyBorder="1" applyAlignment="1">
      <alignment horizontal="center"/>
    </xf>
    <xf numFmtId="0" fontId="9" fillId="0" borderId="5" xfId="0" applyFont="1" applyFill="1" applyBorder="1" applyAlignment="1">
      <alignment horizontal="center"/>
    </xf>
    <xf numFmtId="0" fontId="9" fillId="0" borderId="42" xfId="0" applyFont="1" applyFill="1" applyBorder="1" applyAlignment="1">
      <alignment horizontal="center"/>
    </xf>
    <xf numFmtId="0" fontId="9" fillId="0" borderId="26" xfId="0" applyFont="1" applyFill="1" applyBorder="1" applyAlignment="1">
      <alignment horizontal="center"/>
    </xf>
    <xf numFmtId="0" fontId="9" fillId="0" borderId="2" xfId="0" applyFont="1" applyFill="1" applyBorder="1" applyAlignment="1">
      <alignment horizontal="center"/>
    </xf>
    <xf numFmtId="0" fontId="9" fillId="0" borderId="27" xfId="0" applyFont="1" applyFill="1" applyBorder="1" applyAlignment="1">
      <alignment horizontal="center"/>
    </xf>
    <xf numFmtId="0" fontId="9" fillId="0" borderId="43" xfId="0" applyFont="1" applyFill="1" applyBorder="1" applyAlignment="1">
      <alignment horizontal="center"/>
    </xf>
    <xf numFmtId="0" fontId="9" fillId="0" borderId="3" xfId="0" applyFont="1" applyBorder="1" applyAlignment="1"/>
    <xf numFmtId="0" fontId="0" fillId="0" borderId="0" xfId="0" applyAlignment="1">
      <alignment horizontal="left"/>
    </xf>
    <xf numFmtId="0" fontId="1" fillId="3" borderId="9" xfId="0" applyFont="1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0" fontId="1" fillId="3" borderId="2" xfId="0" applyFont="1" applyFill="1" applyBorder="1" applyAlignment="1" applyProtection="1">
      <alignment horizontal="left" vertical="center"/>
      <protection locked="0"/>
    </xf>
    <xf numFmtId="0" fontId="9" fillId="0" borderId="0" xfId="0" applyFont="1" applyAlignment="1">
      <alignment horizontal="left"/>
    </xf>
    <xf numFmtId="0" fontId="1" fillId="3" borderId="1" xfId="0" applyFont="1" applyFill="1" applyBorder="1" applyAlignment="1" applyProtection="1">
      <alignment horizontal="left" vertical="center" wrapText="1"/>
      <protection locked="0"/>
    </xf>
    <xf numFmtId="0" fontId="1" fillId="3" borderId="21" xfId="0" applyFont="1" applyFill="1" applyBorder="1" applyAlignment="1" applyProtection="1">
      <alignment horizontal="left" vertical="center" wrapText="1"/>
      <protection locked="0"/>
    </xf>
    <xf numFmtId="0" fontId="1" fillId="0" borderId="0" xfId="0" applyFont="1" applyFill="1" applyBorder="1" applyAlignment="1" applyProtection="1">
      <alignment vertical="center" wrapText="1"/>
      <protection locked="0"/>
    </xf>
    <xf numFmtId="2" fontId="9" fillId="2" borderId="3" xfId="0" applyNumberFormat="1" applyFont="1" applyFill="1" applyBorder="1" applyAlignment="1">
      <alignment horizontal="left"/>
    </xf>
    <xf numFmtId="1" fontId="1" fillId="3" borderId="5" xfId="0" applyNumberFormat="1" applyFont="1" applyFill="1" applyBorder="1" applyAlignment="1" applyProtection="1">
      <alignment horizontal="left"/>
      <protection locked="0"/>
    </xf>
    <xf numFmtId="166" fontId="1" fillId="5" borderId="2" xfId="0" applyNumberFormat="1" applyFont="1" applyFill="1" applyBorder="1" applyAlignment="1" applyProtection="1"/>
    <xf numFmtId="166" fontId="1" fillId="5" borderId="2" xfId="0" applyNumberFormat="1" applyFont="1" applyFill="1" applyBorder="1" applyAlignment="1" applyProtection="1">
      <alignment horizontal="center"/>
    </xf>
    <xf numFmtId="1" fontId="1" fillId="3" borderId="2" xfId="0" applyNumberFormat="1" applyFont="1" applyFill="1" applyBorder="1" applyAlignment="1" applyProtection="1">
      <alignment horizontal="left"/>
      <protection locked="0"/>
    </xf>
    <xf numFmtId="0" fontId="1" fillId="3" borderId="3" xfId="0" applyFont="1" applyFill="1" applyBorder="1" applyAlignment="1" applyProtection="1">
      <alignment horizontal="left" vertical="center" wrapText="1"/>
      <protection locked="0"/>
    </xf>
    <xf numFmtId="0" fontId="1" fillId="3" borderId="29" xfId="0" applyFont="1" applyFill="1" applyBorder="1" applyAlignment="1" applyProtection="1">
      <alignment horizontal="left" vertical="center" wrapText="1"/>
      <protection locked="0"/>
    </xf>
    <xf numFmtId="0" fontId="1" fillId="3" borderId="3" xfId="0" applyFont="1" applyFill="1" applyBorder="1" applyAlignment="1" applyProtection="1">
      <alignment horizontal="left" vertical="center"/>
      <protection locked="0"/>
    </xf>
    <xf numFmtId="0" fontId="1" fillId="3" borderId="29" xfId="0" applyFont="1" applyFill="1" applyBorder="1" applyAlignment="1" applyProtection="1">
      <alignment horizontal="left" vertical="center"/>
      <protection locked="0"/>
    </xf>
    <xf numFmtId="0" fontId="1" fillId="3" borderId="4" xfId="0" applyFont="1" applyFill="1" applyBorder="1" applyAlignment="1" applyProtection="1">
      <alignment horizontal="left" vertical="center"/>
      <protection locked="0"/>
    </xf>
  </cellXfs>
  <cellStyles count="3">
    <cellStyle name="Hyperkobling" xfId="1" builtinId="8"/>
    <cellStyle name="Normal" xfId="0" builtinId="0"/>
    <cellStyle name="Valuta" xfId="2" builtinId="4"/>
  </cellStyles>
  <dxfs count="28"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  <color indexed="52"/>
      </font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  <color indexed="52"/>
      </font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47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47"/>
        </patternFill>
      </fill>
    </dxf>
    <dxf>
      <fill>
        <patternFill>
          <bgColor indexed="47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  <color indexed="22"/>
      </font>
      <fill>
        <patternFill>
          <bgColor indexed="17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  <color indexed="52"/>
      </font>
      <fill>
        <patternFill>
          <bgColor indexed="17"/>
        </patternFill>
      </fill>
    </dxf>
    <dxf>
      <fill>
        <patternFill>
          <bgColor indexed="10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ill>
        <patternFill>
          <bgColor indexed="47"/>
        </patternFill>
      </fill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ill>
        <patternFill>
          <bgColor indexed="47"/>
        </patternFill>
      </fill>
    </dxf>
    <dxf>
      <fill>
        <patternFill>
          <bgColor indexed="47"/>
        </patternFill>
      </fill>
    </dxf>
    <dxf>
      <fill>
        <patternFill>
          <bgColor indexed="47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Light16"/>
  <colors>
    <mruColors>
      <color rgb="FFFFCC99"/>
      <color rgb="FFFFB95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50984682713341E-2"/>
          <c:y val="6.6496246723453889E-2"/>
          <c:w val="0.74835886214442016"/>
          <c:h val="0.75703419346701351"/>
        </c:manualLayout>
      </c:layout>
      <c:scatterChart>
        <c:scatterStyle val="lineMarker"/>
        <c:varyColors val="0"/>
        <c:ser>
          <c:idx val="0"/>
          <c:order val="0"/>
          <c:tx>
            <c:v>Inngangsfaktor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5"/>
              <c:pt idx="0">
                <c:v>40</c:v>
              </c:pt>
              <c:pt idx="1">
                <c:v>70</c:v>
              </c:pt>
              <c:pt idx="2">
                <c:v>100</c:v>
              </c:pt>
              <c:pt idx="3">
                <c:v>120</c:v>
              </c:pt>
              <c:pt idx="4">
                <c:v>150</c:v>
              </c:pt>
            </c:numLit>
          </c:xVal>
          <c:yVal>
            <c:numLit>
              <c:formatCode>General</c:formatCode>
              <c:ptCount val="5"/>
              <c:pt idx="0">
                <c:v>1.3337999999999999</c:v>
              </c:pt>
              <c:pt idx="1">
                <c:v>1.1399999999999999</c:v>
              </c:pt>
              <c:pt idx="2">
                <c:v>1.1172</c:v>
              </c:pt>
              <c:pt idx="3">
                <c:v>1.1285999999999998</c:v>
              </c:pt>
              <c:pt idx="4">
                <c:v>1.1514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750016"/>
        <c:axId val="115752320"/>
      </c:scatterChart>
      <c:valAx>
        <c:axId val="115750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kVp</a:t>
                </a:r>
              </a:p>
            </c:rich>
          </c:tx>
          <c:layout>
            <c:manualLayout>
              <c:xMode val="edge"/>
              <c:yMode val="edge"/>
              <c:x val="0.44201317791396166"/>
              <c:y val="0.90281437326728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15752320"/>
        <c:crosses val="autoZero"/>
        <c:crossBetween val="midCat"/>
      </c:valAx>
      <c:valAx>
        <c:axId val="115752320"/>
        <c:scaling>
          <c:orientation val="minMax"/>
          <c:max val="1.4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N_ka*k_q</a:t>
                </a:r>
              </a:p>
            </c:rich>
          </c:tx>
          <c:layout>
            <c:manualLayout>
              <c:xMode val="edge"/>
              <c:yMode val="edge"/>
              <c:x val="1.7505409976177919E-2"/>
              <c:y val="0.3657294372730262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15750016"/>
        <c:crosses val="autoZero"/>
        <c:crossBetween val="midCat"/>
        <c:majorUnit val="0.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5448576433719459"/>
          <c:y val="0.41688033241369121"/>
          <c:w val="0.13457329381171468"/>
          <c:h val="5.626598465473148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fmlaLink="$C$29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3</xdr:col>
          <xdr:colOff>752475</xdr:colOff>
          <xdr:row>5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Oppdater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247650</xdr:colOff>
          <xdr:row>14</xdr:row>
          <xdr:rowOff>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PTWLUT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180975</xdr:rowOff>
        </xdr:from>
        <xdr:to>
          <xdr:col>5</xdr:col>
          <xdr:colOff>152400</xdr:colOff>
          <xdr:row>13</xdr:row>
          <xdr:rowOff>200025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TOR CDR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180975</xdr:rowOff>
        </xdr:from>
        <xdr:to>
          <xdr:col>6</xdr:col>
          <xdr:colOff>323850</xdr:colOff>
          <xdr:row>13</xdr:row>
          <xdr:rowOff>200025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TOR 18FG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552451</xdr:colOff>
      <xdr:row>23</xdr:row>
      <xdr:rowOff>66675</xdr:rowOff>
    </xdr:from>
    <xdr:to>
      <xdr:col>14</xdr:col>
      <xdr:colOff>1</xdr:colOff>
      <xdr:row>32</xdr:row>
      <xdr:rowOff>90971</xdr:rowOff>
    </xdr:to>
    <xdr:pic>
      <xdr:nvPicPr>
        <xdr:cNvPr id="13360" name="Picture 23" descr="kammeroversik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1651" y="3810000"/>
          <a:ext cx="1371600" cy="14816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5</xdr:row>
      <xdr:rowOff>0</xdr:rowOff>
    </xdr:from>
    <xdr:to>
      <xdr:col>10</xdr:col>
      <xdr:colOff>66675</xdr:colOff>
      <xdr:row>23</xdr:row>
      <xdr:rowOff>47625</xdr:rowOff>
    </xdr:to>
    <xdr:sp macro="" textlink="">
      <xdr:nvSpPr>
        <xdr:cNvPr id="9311" name="Rektangel" hidden="1"/>
        <xdr:cNvSpPr>
          <a:spLocks noChangeArrowheads="1"/>
        </xdr:cNvSpPr>
      </xdr:nvSpPr>
      <xdr:spPr bwMode="auto">
        <a:xfrm>
          <a:off x="5229225" y="866775"/>
          <a:ext cx="3105150" cy="30194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123825</xdr:colOff>
      <xdr:row>14</xdr:row>
      <xdr:rowOff>19050</xdr:rowOff>
    </xdr:from>
    <xdr:ext cx="4296817" cy="2009775"/>
    <xdr:sp macro="" textlink="">
      <xdr:nvSpPr>
        <xdr:cNvPr id="3" name="TekstSylinder 2"/>
        <xdr:cNvSpPr txBox="1"/>
      </xdr:nvSpPr>
      <xdr:spPr>
        <a:xfrm>
          <a:off x="123825" y="2286000"/>
          <a:ext cx="4296817" cy="2009775"/>
        </a:xfrm>
        <a:prstGeom prst="rect">
          <a:avLst/>
        </a:prstGeom>
        <a:solidFill>
          <a:schemeClr val="bg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000" b="1">
              <a:latin typeface="+mn-lt"/>
              <a:cs typeface="Arial" panose="020B0604020202020204" pitchFamily="34" charset="0"/>
            </a:rPr>
            <a:t>Metode ved bruk av Unfors</a:t>
          </a:r>
          <a:r>
            <a:rPr lang="nb-NO" sz="1000" b="1" baseline="0">
              <a:latin typeface="+mn-lt"/>
              <a:cs typeface="Arial" panose="020B0604020202020204" pitchFamily="34" charset="0"/>
            </a:rPr>
            <a:t> Xi med Dose Survey detektor</a:t>
          </a:r>
          <a:r>
            <a:rPr lang="nb-NO" sz="1000" b="1">
              <a:latin typeface="+mn-lt"/>
              <a:cs typeface="Arial" panose="020B0604020202020204" pitchFamily="34" charset="0"/>
            </a:rPr>
            <a:t>:</a:t>
          </a:r>
        </a:p>
        <a:p>
          <a:r>
            <a:rPr lang="nb-NO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Bruk tall fra akkumulert dose målt i 10 sekund med 1 eksponering</a:t>
          </a:r>
          <a:endParaRPr lang="nb-NO" sz="1000">
            <a:effectLst/>
            <a:latin typeface="+mn-lt"/>
          </a:endParaRPr>
        </a:p>
        <a:p>
          <a:r>
            <a:rPr lang="nb-NO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Kan være lurt å sjekke</a:t>
          </a:r>
          <a:r>
            <a:rPr lang="nb-NO" sz="10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bakgrunnsstråling i 10 sek før start</a:t>
          </a:r>
          <a:endParaRPr lang="nb-NO" sz="1000">
            <a:effectLst/>
            <a:latin typeface="+mn-lt"/>
          </a:endParaRPr>
        </a:p>
        <a:p>
          <a:endParaRPr lang="nb-NO" sz="1000" b="1">
            <a:latin typeface="+mn-lt"/>
            <a:cs typeface="Arial" panose="020B0604020202020204" pitchFamily="34" charset="0"/>
          </a:endParaRPr>
        </a:p>
        <a:p>
          <a:r>
            <a:rPr lang="nb-NO" sz="1000" b="1">
              <a:latin typeface="+mn-lt"/>
              <a:cs typeface="Arial" panose="020B0604020202020204" pitchFamily="34" charset="0"/>
            </a:rPr>
            <a:t>Forslag</a:t>
          </a:r>
          <a:r>
            <a:rPr lang="nb-NO" sz="1000" b="1" baseline="0">
              <a:latin typeface="+mn-lt"/>
              <a:cs typeface="Arial" panose="020B0604020202020204" pitchFamily="34" charset="0"/>
            </a:rPr>
            <a:t> til målepunkter:</a:t>
          </a:r>
        </a:p>
        <a:p>
          <a:pPr lvl="0"/>
          <a:r>
            <a:rPr lang="nb-NO" sz="1000">
              <a:solidFill>
                <a:schemeClr val="tx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På kontrollpult / inntil blyglass</a:t>
          </a:r>
        </a:p>
        <a:p>
          <a:pPr lvl="0"/>
          <a:r>
            <a:rPr lang="nb-NO" sz="1000">
              <a:solidFill>
                <a:schemeClr val="tx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Døråpning (åpen/lukket/innenfor/utenfor)</a:t>
          </a:r>
        </a:p>
        <a:p>
          <a:pPr lvl="0"/>
          <a:r>
            <a:rPr lang="nb-NO" sz="1000">
              <a:solidFill>
                <a:schemeClr val="tx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Normal operatørposisjon (for eksempel for kat.lab: 1 meter fra feltsenter)</a:t>
          </a:r>
        </a:p>
        <a:p>
          <a:pPr lvl="1"/>
          <a:r>
            <a:rPr lang="nb-NO" sz="1000">
              <a:solidFill>
                <a:schemeClr val="tx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Uten beskyttelse</a:t>
          </a:r>
        </a:p>
        <a:p>
          <a:pPr lvl="1"/>
          <a:r>
            <a:rPr lang="nb-NO" sz="1000">
              <a:solidFill>
                <a:schemeClr val="tx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Med blyglass/frakk</a:t>
          </a:r>
        </a:p>
        <a:p>
          <a:pPr lvl="0"/>
          <a:r>
            <a:rPr lang="nb-NO" sz="1000">
              <a:solidFill>
                <a:schemeClr val="tx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Anestesiplass (typisk 1-2 meter fra pasient)</a:t>
          </a:r>
        </a:p>
        <a:p>
          <a:pPr lvl="0"/>
          <a:r>
            <a:rPr lang="nb-NO" sz="1000">
              <a:solidFill>
                <a:schemeClr val="tx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Andre døråpninger</a:t>
          </a:r>
        </a:p>
        <a:p>
          <a:endParaRPr lang="nb-NO" sz="1000">
            <a:latin typeface="+mn-lt"/>
            <a:cs typeface="Arial" panose="020B0604020202020204" pitchFamily="34" charset="0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19</xdr:row>
      <xdr:rowOff>76200</xdr:rowOff>
    </xdr:from>
    <xdr:to>
      <xdr:col>10</xdr:col>
      <xdr:colOff>9525</xdr:colOff>
      <xdr:row>38</xdr:row>
      <xdr:rowOff>0</xdr:rowOff>
    </xdr:to>
    <xdr:graphicFrame macro="">
      <xdr:nvGraphicFramePr>
        <xdr:cNvPr id="8238" name="Diagram 10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1"/>
  <dimension ref="A2:C53"/>
  <sheetViews>
    <sheetView workbookViewId="0">
      <selection activeCell="D14" sqref="D14"/>
    </sheetView>
  </sheetViews>
  <sheetFormatPr baseColWidth="10" defaultRowHeight="12.75" x14ac:dyDescent="0.2"/>
  <cols>
    <col min="2" max="2" width="13" bestFit="1" customWidth="1"/>
    <col min="3" max="3" width="16.5703125" bestFit="1" customWidth="1"/>
  </cols>
  <sheetData>
    <row r="2" spans="1:3" ht="14.25" customHeight="1" x14ac:dyDescent="0.2">
      <c r="A2" s="1"/>
    </row>
    <row r="3" spans="1:3" ht="13.5" customHeight="1" x14ac:dyDescent="0.2">
      <c r="A3" s="1"/>
      <c r="B3" s="220" t="s">
        <v>145</v>
      </c>
      <c r="C3" s="221"/>
    </row>
    <row r="4" spans="1:3" ht="13.5" customHeight="1" x14ac:dyDescent="0.2">
      <c r="A4" s="1"/>
      <c r="B4" s="220" t="s">
        <v>146</v>
      </c>
      <c r="C4" s="221"/>
    </row>
    <row r="5" spans="1:3" ht="13.5" customHeight="1" x14ac:dyDescent="0.2">
      <c r="A5" s="1"/>
      <c r="B5" s="220" t="s">
        <v>147</v>
      </c>
      <c r="C5" s="252"/>
    </row>
    <row r="6" spans="1:3" ht="13.5" customHeight="1" x14ac:dyDescent="0.2">
      <c r="A6" s="1"/>
      <c r="B6" s="220" t="s">
        <v>148</v>
      </c>
      <c r="C6" s="227"/>
    </row>
    <row r="7" spans="1:3" ht="13.5" customHeight="1" x14ac:dyDescent="0.2">
      <c r="A7" s="1"/>
      <c r="B7" s="220" t="s">
        <v>149</v>
      </c>
      <c r="C7" s="227"/>
    </row>
    <row r="8" spans="1:3" x14ac:dyDescent="0.2">
      <c r="A8" s="1"/>
      <c r="B8" s="222" t="s">
        <v>150</v>
      </c>
      <c r="C8" s="227"/>
    </row>
    <row r="9" spans="1:3" x14ac:dyDescent="0.2">
      <c r="A9" s="1"/>
      <c r="B9" s="222" t="s">
        <v>1070</v>
      </c>
      <c r="C9" s="221"/>
    </row>
    <row r="10" spans="1:3" x14ac:dyDescent="0.2">
      <c r="A10" s="1"/>
      <c r="B10" s="222" t="s">
        <v>1071</v>
      </c>
      <c r="C10" s="221"/>
    </row>
    <row r="11" spans="1:3" x14ac:dyDescent="0.2">
      <c r="A11" s="1"/>
      <c r="B11" s="222" t="s">
        <v>928</v>
      </c>
      <c r="C11" s="221"/>
    </row>
    <row r="12" spans="1:3" x14ac:dyDescent="0.2">
      <c r="A12" s="1"/>
    </row>
    <row r="13" spans="1:3" x14ac:dyDescent="0.2">
      <c r="A13" s="1"/>
    </row>
    <row r="14" spans="1:3" x14ac:dyDescent="0.2">
      <c r="A14" s="1"/>
    </row>
    <row r="15" spans="1:3" x14ac:dyDescent="0.2">
      <c r="A15" s="1"/>
    </row>
    <row r="16" spans="1:3" x14ac:dyDescent="0.2">
      <c r="A16" s="1"/>
    </row>
    <row r="17" spans="1:1" x14ac:dyDescent="0.2">
      <c r="A17" s="1"/>
    </row>
    <row r="18" spans="1:1" x14ac:dyDescent="0.2">
      <c r="A18" s="1"/>
    </row>
    <row r="19" spans="1:1" s="4" customFormat="1" hidden="1" x14ac:dyDescent="0.2">
      <c r="A19" s="1"/>
    </row>
    <row r="20" spans="1:1" hidden="1" x14ac:dyDescent="0.2">
      <c r="A20" s="1"/>
    </row>
    <row r="21" spans="1:1" hidden="1" x14ac:dyDescent="0.2">
      <c r="A21" s="1"/>
    </row>
    <row r="22" spans="1:1" hidden="1" x14ac:dyDescent="0.2">
      <c r="A22" s="1"/>
    </row>
    <row r="23" spans="1:1" hidden="1" x14ac:dyDescent="0.2">
      <c r="A23" s="1"/>
    </row>
    <row r="24" spans="1:1" hidden="1" x14ac:dyDescent="0.2">
      <c r="A24" s="1"/>
    </row>
    <row r="25" spans="1:1" hidden="1" x14ac:dyDescent="0.2">
      <c r="A25" s="1"/>
    </row>
    <row r="26" spans="1:1" hidden="1" x14ac:dyDescent="0.2">
      <c r="A26" s="1"/>
    </row>
    <row r="27" spans="1:1" hidden="1" x14ac:dyDescent="0.2">
      <c r="A27" s="1"/>
    </row>
    <row r="28" spans="1:1" hidden="1" x14ac:dyDescent="0.2">
      <c r="A28" s="1"/>
    </row>
    <row r="29" spans="1:1" hidden="1" x14ac:dyDescent="0.2">
      <c r="A29" s="1"/>
    </row>
    <row r="30" spans="1:1" hidden="1" x14ac:dyDescent="0.2">
      <c r="A30" s="1"/>
    </row>
    <row r="31" spans="1:1" hidden="1" x14ac:dyDescent="0.2">
      <c r="A31" s="1"/>
    </row>
    <row r="32" spans="1:1" hidden="1" x14ac:dyDescent="0.2">
      <c r="A32" s="1"/>
    </row>
    <row r="33" spans="1:1" hidden="1" x14ac:dyDescent="0.2">
      <c r="A33" s="1"/>
    </row>
    <row r="34" spans="1:1" hidden="1" x14ac:dyDescent="0.2">
      <c r="A34" s="1"/>
    </row>
    <row r="35" spans="1:1" hidden="1" x14ac:dyDescent="0.2">
      <c r="A35" s="1"/>
    </row>
    <row r="36" spans="1:1" hidden="1" x14ac:dyDescent="0.2">
      <c r="A36" s="1"/>
    </row>
    <row r="37" spans="1:1" hidden="1" x14ac:dyDescent="0.2">
      <c r="A37" s="1"/>
    </row>
    <row r="38" spans="1:1" hidden="1" x14ac:dyDescent="0.2">
      <c r="A38" s="1"/>
    </row>
    <row r="39" spans="1:1" hidden="1" x14ac:dyDescent="0.2">
      <c r="A39" s="1"/>
    </row>
    <row r="40" spans="1:1" hidden="1" x14ac:dyDescent="0.2">
      <c r="A40" s="1"/>
    </row>
    <row r="41" spans="1:1" hidden="1" x14ac:dyDescent="0.2">
      <c r="A41" s="1"/>
    </row>
    <row r="42" spans="1:1" hidden="1" x14ac:dyDescent="0.2">
      <c r="A42" s="1"/>
    </row>
    <row r="43" spans="1:1" hidden="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</sheetData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Update_date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3</xdr:col>
                    <xdr:colOff>752475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/>
  <dimension ref="A2:T62"/>
  <sheetViews>
    <sheetView workbookViewId="0">
      <selection activeCell="G26" sqref="G26"/>
    </sheetView>
  </sheetViews>
  <sheetFormatPr baseColWidth="10" defaultRowHeight="12.75" x14ac:dyDescent="0.2"/>
  <cols>
    <col min="1" max="1" width="14.42578125" bestFit="1" customWidth="1"/>
    <col min="2" max="2" width="23.7109375" customWidth="1"/>
    <col min="3" max="3" width="13.28515625" bestFit="1" customWidth="1"/>
  </cols>
  <sheetData>
    <row r="2" spans="1:20" x14ac:dyDescent="0.2">
      <c r="D2" s="220" t="s">
        <v>37</v>
      </c>
      <c r="E2" s="221"/>
      <c r="G2" s="257" t="s">
        <v>1064</v>
      </c>
      <c r="H2" s="258"/>
      <c r="I2" s="259"/>
    </row>
    <row r="3" spans="1:20" x14ac:dyDescent="0.2">
      <c r="D3" s="220" t="s">
        <v>25</v>
      </c>
      <c r="E3" s="221"/>
      <c r="G3" s="257" t="s">
        <v>1031</v>
      </c>
      <c r="H3" s="259"/>
      <c r="I3" s="221"/>
    </row>
    <row r="4" spans="1:20" x14ac:dyDescent="0.2">
      <c r="D4" s="220" t="s">
        <v>1032</v>
      </c>
      <c r="E4" s="221"/>
      <c r="G4" s="220" t="s">
        <v>1033</v>
      </c>
      <c r="H4" s="220"/>
      <c r="I4" s="221"/>
    </row>
    <row r="5" spans="1:20" x14ac:dyDescent="0.2">
      <c r="D5" s="220" t="s">
        <v>38</v>
      </c>
      <c r="E5" s="221"/>
      <c r="G5" s="220" t="s">
        <v>1034</v>
      </c>
      <c r="H5" s="220"/>
      <c r="I5" s="221"/>
    </row>
    <row r="6" spans="1:20" x14ac:dyDescent="0.2">
      <c r="D6" s="220" t="s">
        <v>138</v>
      </c>
      <c r="E6" s="221"/>
      <c r="G6" s="220" t="s">
        <v>1035</v>
      </c>
      <c r="H6" s="220"/>
      <c r="I6" s="221"/>
    </row>
    <row r="7" spans="1:20" x14ac:dyDescent="0.2">
      <c r="D7" s="220" t="s">
        <v>43</v>
      </c>
      <c r="E7" s="221"/>
    </row>
    <row r="8" spans="1:20" x14ac:dyDescent="0.2">
      <c r="D8" s="220" t="s">
        <v>1036</v>
      </c>
      <c r="E8" s="221"/>
    </row>
    <row r="9" spans="1:20" x14ac:dyDescent="0.2">
      <c r="D9" s="220" t="s">
        <v>41</v>
      </c>
      <c r="E9" s="221"/>
    </row>
    <row r="10" spans="1:20" x14ac:dyDescent="0.2">
      <c r="D10" s="220" t="s">
        <v>928</v>
      </c>
      <c r="E10" s="221"/>
    </row>
    <row r="11" spans="1:20" x14ac:dyDescent="0.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1"/>
    </row>
    <row r="12" spans="1:20" x14ac:dyDescent="0.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1"/>
    </row>
    <row r="13" spans="1:20" ht="15.75" customHeight="1" x14ac:dyDescent="0.2">
      <c r="A13" s="102"/>
      <c r="B13" s="102"/>
      <c r="C13" s="102"/>
      <c r="D13" s="75" t="s">
        <v>0</v>
      </c>
      <c r="E13" s="76"/>
      <c r="F13" s="77"/>
      <c r="G13" s="102"/>
      <c r="H13" s="102"/>
      <c r="I13" s="102"/>
      <c r="J13" s="102"/>
      <c r="K13" s="102"/>
      <c r="L13" s="102"/>
      <c r="M13" s="102"/>
      <c r="N13" s="102"/>
      <c r="O13" s="102"/>
      <c r="P13" s="102"/>
      <c r="Q13" s="104"/>
      <c r="R13" s="104"/>
      <c r="S13" s="105"/>
      <c r="T13" s="1"/>
    </row>
    <row r="14" spans="1:20" ht="17.25" customHeight="1" x14ac:dyDescent="0.2">
      <c r="A14" s="102"/>
      <c r="B14" s="103" t="str">
        <f>IF(SUM(AF19:AF24)=0,"","Feil format på dosemodus (lav/normal/høy)")</f>
        <v/>
      </c>
      <c r="C14" s="102"/>
      <c r="D14" s="107"/>
      <c r="E14" s="108"/>
      <c r="F14" s="109"/>
      <c r="G14" s="106"/>
      <c r="H14" s="102"/>
      <c r="I14" s="102"/>
      <c r="J14" s="102"/>
      <c r="K14" s="102"/>
      <c r="L14" s="102"/>
      <c r="M14" s="102"/>
      <c r="N14" s="102"/>
      <c r="O14" s="102"/>
      <c r="P14" s="102"/>
      <c r="Q14" s="104"/>
      <c r="R14" s="104"/>
      <c r="S14" s="105"/>
      <c r="T14" s="1"/>
    </row>
    <row r="15" spans="1:20" x14ac:dyDescent="0.2">
      <c r="A15" s="261" t="s">
        <v>19</v>
      </c>
      <c r="B15" s="262"/>
      <c r="C15" s="263"/>
      <c r="D15" s="270" t="str">
        <f>L16</f>
        <v>Kontrollrom/Venstre monitor</v>
      </c>
      <c r="E15" s="271"/>
      <c r="F15" s="271"/>
      <c r="G15" s="272"/>
      <c r="H15" s="260" t="str">
        <f>P16</f>
        <v>Inne på lab/Høyre monitor</v>
      </c>
      <c r="I15" s="260"/>
      <c r="J15" s="260"/>
      <c r="K15" s="260"/>
      <c r="L15" s="260" t="s">
        <v>1</v>
      </c>
      <c r="M15" s="260"/>
      <c r="N15" s="260"/>
      <c r="O15" s="260"/>
      <c r="P15" s="260"/>
      <c r="Q15" s="260"/>
      <c r="R15" s="260"/>
      <c r="S15" s="260"/>
      <c r="T15" s="1"/>
    </row>
    <row r="16" spans="1:20" x14ac:dyDescent="0.2">
      <c r="A16" s="264"/>
      <c r="B16" s="265"/>
      <c r="C16" s="266"/>
      <c r="D16" s="78" t="s">
        <v>2</v>
      </c>
      <c r="E16" s="79"/>
      <c r="F16" s="52"/>
      <c r="G16" s="79"/>
      <c r="H16" s="78" t="s">
        <v>2</v>
      </c>
      <c r="I16" s="79"/>
      <c r="J16" s="228"/>
      <c r="K16" s="79"/>
      <c r="L16" s="273" t="s">
        <v>3</v>
      </c>
      <c r="M16" s="273"/>
      <c r="N16" s="273"/>
      <c r="O16" s="273"/>
      <c r="P16" s="273" t="s">
        <v>4</v>
      </c>
      <c r="Q16" s="273"/>
      <c r="R16" s="273"/>
      <c r="S16" s="273"/>
      <c r="T16" s="1"/>
    </row>
    <row r="17" spans="1:20" x14ac:dyDescent="0.2">
      <c r="A17" s="267"/>
      <c r="B17" s="268"/>
      <c r="C17" s="269"/>
      <c r="D17" s="260" t="s">
        <v>5</v>
      </c>
      <c r="E17" s="260"/>
      <c r="F17" s="260" t="s">
        <v>6</v>
      </c>
      <c r="G17" s="260"/>
      <c r="H17" s="260" t="s">
        <v>5</v>
      </c>
      <c r="I17" s="260"/>
      <c r="J17" s="260" t="s">
        <v>6</v>
      </c>
      <c r="K17" s="260"/>
      <c r="L17" s="260" t="s">
        <v>5</v>
      </c>
      <c r="M17" s="260"/>
      <c r="N17" s="260" t="s">
        <v>6</v>
      </c>
      <c r="O17" s="260"/>
      <c r="P17" s="260" t="s">
        <v>5</v>
      </c>
      <c r="Q17" s="260"/>
      <c r="R17" s="260" t="s">
        <v>6</v>
      </c>
      <c r="S17" s="260"/>
      <c r="T17" s="1"/>
    </row>
    <row r="18" spans="1:20" x14ac:dyDescent="0.2">
      <c r="A18" s="80" t="s">
        <v>37</v>
      </c>
      <c r="B18" s="80" t="s">
        <v>7</v>
      </c>
      <c r="C18" s="80" t="s">
        <v>8</v>
      </c>
      <c r="D18" s="80" t="s">
        <v>9</v>
      </c>
      <c r="E18" s="80" t="s">
        <v>10</v>
      </c>
      <c r="F18" s="80" t="s">
        <v>9</v>
      </c>
      <c r="G18" s="80" t="s">
        <v>10</v>
      </c>
      <c r="H18" s="80" t="s">
        <v>9</v>
      </c>
      <c r="I18" s="80" t="s">
        <v>10</v>
      </c>
      <c r="J18" s="80" t="s">
        <v>9</v>
      </c>
      <c r="K18" s="80" t="s">
        <v>10</v>
      </c>
      <c r="L18" s="80" t="s">
        <v>11</v>
      </c>
      <c r="M18" s="80" t="s">
        <v>12</v>
      </c>
      <c r="N18" s="80" t="s">
        <v>11</v>
      </c>
      <c r="O18" s="80" t="s">
        <v>12</v>
      </c>
      <c r="P18" s="80" t="s">
        <v>11</v>
      </c>
      <c r="Q18" s="80" t="s">
        <v>12</v>
      </c>
      <c r="R18" s="80" t="s">
        <v>11</v>
      </c>
      <c r="S18" s="80" t="s">
        <v>12</v>
      </c>
      <c r="T18" s="1"/>
    </row>
    <row r="19" spans="1:20" x14ac:dyDescent="0.2">
      <c r="A19" s="50"/>
      <c r="B19" s="50"/>
      <c r="C19" s="50"/>
      <c r="D19" s="81" t="str">
        <f t="shared" ref="D19:D24" si="0">CHOOSE($C$29,IF(L19="","",INDEX(PTWLUT,L19,2)),IF(L19="","",INDEX(TORCDR,L19,2)),IF(L19="","",INDEX(TOR18FG,L19,2)))</f>
        <v/>
      </c>
      <c r="E19" s="82" t="str">
        <f t="shared" ref="E19:E24" si="1">CHOOSE($C$29,IF(M19="","",INDEX(PTWLUT,M19,3)),IF(M19="","",INDEX(TORCDR,M19,3)),IF(M19="","",INDEX(TOR18FG,M19,3)))</f>
        <v/>
      </c>
      <c r="F19" s="81" t="str">
        <f t="shared" ref="F19:F24" si="2">CHOOSE($C$29,IF(N19="","",INDEX(PTWLUT,N19,2)),IF(N19="","",INDEX(TORCDR,N19,2)),IF(N19="","",INDEX(TOR18FG,N19,2)))</f>
        <v/>
      </c>
      <c r="G19" s="82" t="str">
        <f t="shared" ref="G19:G24" si="3">CHOOSE($C$29,IF(O19="","",INDEX(PTWLUT,O19,3)),IF(O19="","",INDEX(TORCDR,O19,3)),IF(O19="","",INDEX(TOR18FG,O19,3)))</f>
        <v/>
      </c>
      <c r="H19" s="81" t="str">
        <f t="shared" ref="H19:H24" si="4">CHOOSE($C$29,IF(P19="","",INDEX(PTWLUT,P19,2)),IF(P19="","",INDEX(TORCDR,P19,2)),IF(P19="","",INDEX(TOR18FG,P19,2)))</f>
        <v/>
      </c>
      <c r="I19" s="82" t="str">
        <f t="shared" ref="I19:I24" si="5">CHOOSE($C$29,IF(Q19="","",INDEX(PTWLUT,Q19,3)),IF(Q19="","",INDEX(TORCDR,Q19,3)),IF(Q19="","",INDEX(TOR18FG,Q19,3)))</f>
        <v/>
      </c>
      <c r="J19" s="81" t="str">
        <f t="shared" ref="J19:J24" si="6">CHOOSE($C$29,IF(R19="","",INDEX(PTWLUT,R19,2)),IF(R19="","",INDEX(TORCDR,R19,2)),IF(R19="","",INDEX(TOR18FG,R19,2)))</f>
        <v/>
      </c>
      <c r="K19" s="82" t="str">
        <f t="shared" ref="K19:K24" si="7">CHOOSE($C$29,IF(S19="","",INDEX(PTWLUT,S19,3)),IF(S19="","",INDEX(TORCDR,S19,3)),IF(S19="","",INDEX(TOR18FG,S19,3)))</f>
        <v/>
      </c>
      <c r="L19" s="233"/>
      <c r="M19" s="233"/>
      <c r="N19" s="233"/>
      <c r="O19" s="233"/>
      <c r="P19" s="233"/>
      <c r="Q19" s="233"/>
      <c r="R19" s="233"/>
      <c r="S19" s="233"/>
      <c r="T19" s="1"/>
    </row>
    <row r="20" spans="1:20" x14ac:dyDescent="0.2">
      <c r="A20" s="50"/>
      <c r="B20" s="50"/>
      <c r="C20" s="50"/>
      <c r="D20" s="81" t="str">
        <f t="shared" si="0"/>
        <v/>
      </c>
      <c r="E20" s="82" t="str">
        <f t="shared" si="1"/>
        <v/>
      </c>
      <c r="F20" s="81" t="str">
        <f t="shared" si="2"/>
        <v/>
      </c>
      <c r="G20" s="82" t="str">
        <f t="shared" si="3"/>
        <v/>
      </c>
      <c r="H20" s="81" t="str">
        <f t="shared" si="4"/>
        <v/>
      </c>
      <c r="I20" s="82" t="str">
        <f t="shared" si="5"/>
        <v/>
      </c>
      <c r="J20" s="81" t="str">
        <f t="shared" si="6"/>
        <v/>
      </c>
      <c r="K20" s="82" t="str">
        <f t="shared" si="7"/>
        <v/>
      </c>
      <c r="L20" s="233"/>
      <c r="M20" s="233"/>
      <c r="N20" s="233"/>
      <c r="O20" s="233"/>
      <c r="P20" s="233"/>
      <c r="Q20" s="233"/>
      <c r="R20" s="233"/>
      <c r="S20" s="233"/>
      <c r="T20" s="1"/>
    </row>
    <row r="21" spans="1:20" x14ac:dyDescent="0.2">
      <c r="A21" s="50"/>
      <c r="B21" s="50"/>
      <c r="C21" s="50"/>
      <c r="D21" s="81" t="str">
        <f t="shared" si="0"/>
        <v/>
      </c>
      <c r="E21" s="82" t="str">
        <f t="shared" si="1"/>
        <v/>
      </c>
      <c r="F21" s="81" t="str">
        <f t="shared" si="2"/>
        <v/>
      </c>
      <c r="G21" s="82" t="str">
        <f t="shared" si="3"/>
        <v/>
      </c>
      <c r="H21" s="81" t="str">
        <f t="shared" si="4"/>
        <v/>
      </c>
      <c r="I21" s="82" t="str">
        <f t="shared" si="5"/>
        <v/>
      </c>
      <c r="J21" s="81" t="str">
        <f t="shared" si="6"/>
        <v/>
      </c>
      <c r="K21" s="82" t="str">
        <f t="shared" si="7"/>
        <v/>
      </c>
      <c r="L21" s="233"/>
      <c r="M21" s="233"/>
      <c r="N21" s="233"/>
      <c r="O21" s="233"/>
      <c r="P21" s="233"/>
      <c r="Q21" s="233"/>
      <c r="R21" s="233"/>
      <c r="S21" s="233"/>
      <c r="T21" s="1"/>
    </row>
    <row r="22" spans="1:20" x14ac:dyDescent="0.2">
      <c r="A22" s="50"/>
      <c r="B22" s="50"/>
      <c r="C22" s="50"/>
      <c r="D22" s="81" t="str">
        <f t="shared" si="0"/>
        <v/>
      </c>
      <c r="E22" s="82" t="str">
        <f t="shared" si="1"/>
        <v/>
      </c>
      <c r="F22" s="81" t="str">
        <f t="shared" si="2"/>
        <v/>
      </c>
      <c r="G22" s="82" t="str">
        <f t="shared" si="3"/>
        <v/>
      </c>
      <c r="H22" s="81" t="str">
        <f t="shared" si="4"/>
        <v/>
      </c>
      <c r="I22" s="82" t="str">
        <f t="shared" si="5"/>
        <v/>
      </c>
      <c r="J22" s="81" t="str">
        <f t="shared" si="6"/>
        <v/>
      </c>
      <c r="K22" s="82" t="str">
        <f t="shared" si="7"/>
        <v/>
      </c>
      <c r="L22" s="233"/>
      <c r="M22" s="233"/>
      <c r="N22" s="233"/>
      <c r="O22" s="233"/>
      <c r="P22" s="233"/>
      <c r="Q22" s="233"/>
      <c r="R22" s="233"/>
      <c r="S22" s="233"/>
      <c r="T22" s="1"/>
    </row>
    <row r="23" spans="1:20" x14ac:dyDescent="0.2">
      <c r="A23" s="50"/>
      <c r="B23" s="50"/>
      <c r="C23" s="50"/>
      <c r="D23" s="81" t="str">
        <f t="shared" si="0"/>
        <v/>
      </c>
      <c r="E23" s="82" t="str">
        <f t="shared" si="1"/>
        <v/>
      </c>
      <c r="F23" s="81" t="str">
        <f t="shared" si="2"/>
        <v/>
      </c>
      <c r="G23" s="82" t="str">
        <f t="shared" si="3"/>
        <v/>
      </c>
      <c r="H23" s="81" t="str">
        <f t="shared" si="4"/>
        <v/>
      </c>
      <c r="I23" s="82" t="str">
        <f t="shared" si="5"/>
        <v/>
      </c>
      <c r="J23" s="81" t="str">
        <f t="shared" si="6"/>
        <v/>
      </c>
      <c r="K23" s="82" t="str">
        <f t="shared" si="7"/>
        <v/>
      </c>
      <c r="L23" s="233"/>
      <c r="M23" s="233"/>
      <c r="N23" s="233"/>
      <c r="O23" s="233"/>
      <c r="P23" s="233"/>
      <c r="Q23" s="233"/>
      <c r="R23" s="233"/>
      <c r="S23" s="233"/>
      <c r="T23" s="1"/>
    </row>
    <row r="24" spans="1:20" x14ac:dyDescent="0.2">
      <c r="A24" s="50"/>
      <c r="B24" s="50"/>
      <c r="C24" s="50"/>
      <c r="D24" s="204" t="str">
        <f t="shared" si="0"/>
        <v/>
      </c>
      <c r="E24" s="205" t="str">
        <f t="shared" si="1"/>
        <v/>
      </c>
      <c r="F24" s="204" t="str">
        <f t="shared" si="2"/>
        <v/>
      </c>
      <c r="G24" s="205" t="str">
        <f t="shared" si="3"/>
        <v/>
      </c>
      <c r="H24" s="204" t="str">
        <f t="shared" si="4"/>
        <v/>
      </c>
      <c r="I24" s="205" t="str">
        <f t="shared" si="5"/>
        <v/>
      </c>
      <c r="J24" s="204" t="str">
        <f t="shared" si="6"/>
        <v/>
      </c>
      <c r="K24" s="205" t="str">
        <f t="shared" si="7"/>
        <v/>
      </c>
      <c r="L24" s="233"/>
      <c r="M24" s="233"/>
      <c r="N24" s="233"/>
      <c r="O24" s="233"/>
      <c r="P24" s="233"/>
      <c r="Q24" s="233"/>
      <c r="R24" s="233"/>
      <c r="S24" s="233"/>
      <c r="T24" s="1"/>
    </row>
    <row r="25" spans="1:20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20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  <row r="28" spans="1:20" s="4" customFormat="1" hidden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</row>
    <row r="29" spans="1:20" ht="15.75" hidden="1" x14ac:dyDescent="0.2">
      <c r="A29" s="1"/>
      <c r="B29" s="83" t="s">
        <v>13</v>
      </c>
      <c r="C29" s="3">
        <v>2</v>
      </c>
      <c r="D29" s="3"/>
      <c r="E29" s="3"/>
      <c r="F29" s="3"/>
      <c r="G29" s="3"/>
      <c r="H29" s="3"/>
      <c r="I29" s="3"/>
      <c r="J29" s="3"/>
      <c r="K29" s="3"/>
      <c r="L29" s="3"/>
      <c r="M29" s="1"/>
      <c r="N29" s="1"/>
      <c r="O29" s="1"/>
      <c r="P29" s="1"/>
      <c r="Q29" s="1"/>
      <c r="R29" s="1"/>
      <c r="S29" s="1"/>
      <c r="T29" s="1"/>
    </row>
    <row r="30" spans="1:20" ht="15.75" hidden="1" x14ac:dyDescent="0.2">
      <c r="A30" s="1"/>
      <c r="B30" s="84" t="s">
        <v>14</v>
      </c>
      <c r="C30" s="3"/>
      <c r="D30" s="3"/>
      <c r="E30" s="3"/>
      <c r="F30" s="85" t="s">
        <v>15</v>
      </c>
      <c r="G30" s="3"/>
      <c r="H30" s="3"/>
      <c r="I30" s="3"/>
      <c r="J30" s="85" t="s">
        <v>16</v>
      </c>
      <c r="K30" s="3"/>
      <c r="L30" s="3"/>
      <c r="M30" s="1"/>
      <c r="N30" s="1"/>
      <c r="O30" s="1"/>
      <c r="P30" s="1"/>
      <c r="Q30" s="1"/>
      <c r="R30" s="1"/>
      <c r="S30" s="1"/>
      <c r="T30" s="1"/>
    </row>
    <row r="31" spans="1:20" ht="16.5" hidden="1" thickBot="1" x14ac:dyDescent="0.3">
      <c r="A31" s="1"/>
      <c r="B31" s="86" t="s">
        <v>17</v>
      </c>
      <c r="C31" s="3" t="s">
        <v>18</v>
      </c>
      <c r="D31" s="3" t="s">
        <v>10</v>
      </c>
      <c r="E31" s="2"/>
      <c r="F31" s="2" t="s">
        <v>17</v>
      </c>
      <c r="G31" s="2" t="s">
        <v>18</v>
      </c>
      <c r="H31" s="2" t="s">
        <v>10</v>
      </c>
      <c r="I31" s="3"/>
      <c r="J31" s="2" t="s">
        <v>17</v>
      </c>
      <c r="K31" s="2" t="s">
        <v>18</v>
      </c>
      <c r="L31" s="2" t="s">
        <v>10</v>
      </c>
      <c r="M31" s="1"/>
      <c r="N31" s="1"/>
      <c r="O31" s="1"/>
      <c r="P31" s="1"/>
      <c r="Q31" s="1"/>
      <c r="R31" s="1"/>
      <c r="S31" s="1"/>
      <c r="T31" s="1"/>
    </row>
    <row r="32" spans="1:20" ht="15.75" hidden="1" x14ac:dyDescent="0.25">
      <c r="A32" s="1"/>
      <c r="B32" s="87">
        <v>1</v>
      </c>
      <c r="C32" s="88">
        <v>0.2</v>
      </c>
      <c r="D32" s="89">
        <v>0.5</v>
      </c>
      <c r="E32" s="2"/>
      <c r="F32" s="90">
        <v>1</v>
      </c>
      <c r="G32" s="91">
        <v>7.4999999999999997E-2</v>
      </c>
      <c r="H32" s="92">
        <v>0.5</v>
      </c>
      <c r="I32" s="3"/>
      <c r="J32" s="90">
        <v>1</v>
      </c>
      <c r="K32" s="91">
        <v>0.16</v>
      </c>
      <c r="L32" s="92">
        <v>0.5</v>
      </c>
      <c r="M32" s="1"/>
      <c r="N32" s="1"/>
      <c r="O32" s="1"/>
      <c r="P32" s="1"/>
      <c r="Q32" s="1"/>
      <c r="R32" s="1"/>
      <c r="S32" s="1"/>
      <c r="T32" s="1"/>
    </row>
    <row r="33" spans="1:20" ht="15.75" hidden="1" x14ac:dyDescent="0.25">
      <c r="A33" s="1"/>
      <c r="B33" s="93">
        <v>2</v>
      </c>
      <c r="C33" s="94">
        <v>0.18</v>
      </c>
      <c r="D33" s="95">
        <v>0.56000000000000005</v>
      </c>
      <c r="E33" s="2"/>
      <c r="F33" s="96">
        <v>2</v>
      </c>
      <c r="G33" s="97">
        <v>6.7000000000000004E-2</v>
      </c>
      <c r="H33" s="98">
        <v>0.56000000000000005</v>
      </c>
      <c r="I33" s="3"/>
      <c r="J33" s="96">
        <v>2</v>
      </c>
      <c r="K33" s="97">
        <v>0.14499999999999999</v>
      </c>
      <c r="L33" s="98">
        <v>0.56000000000000005</v>
      </c>
      <c r="M33" s="1"/>
      <c r="N33" s="1"/>
      <c r="O33" s="1"/>
      <c r="P33" s="1"/>
      <c r="Q33" s="1"/>
      <c r="R33" s="1"/>
      <c r="S33" s="1"/>
      <c r="T33" s="1"/>
    </row>
    <row r="34" spans="1:20" ht="15.75" hidden="1" x14ac:dyDescent="0.25">
      <c r="A34" s="1"/>
      <c r="B34" s="93">
        <v>3</v>
      </c>
      <c r="C34" s="94">
        <v>0.16</v>
      </c>
      <c r="D34" s="95">
        <v>0.63</v>
      </c>
      <c r="E34" s="2"/>
      <c r="F34" s="96">
        <v>3</v>
      </c>
      <c r="G34" s="97">
        <v>5.2999999999999999E-2</v>
      </c>
      <c r="H34" s="98">
        <v>0.63</v>
      </c>
      <c r="I34" s="3"/>
      <c r="J34" s="96">
        <v>3</v>
      </c>
      <c r="K34" s="97">
        <v>0.123</v>
      </c>
      <c r="L34" s="98">
        <v>0.63</v>
      </c>
      <c r="M34" s="1"/>
      <c r="N34" s="1"/>
      <c r="O34" s="1"/>
      <c r="P34" s="1"/>
      <c r="Q34" s="1"/>
      <c r="R34" s="1"/>
      <c r="S34" s="1"/>
      <c r="T34" s="1"/>
    </row>
    <row r="35" spans="1:20" ht="15.75" hidden="1" x14ac:dyDescent="0.25">
      <c r="A35" s="1"/>
      <c r="B35" s="93">
        <v>4</v>
      </c>
      <c r="C35" s="94">
        <v>0.14499999999999999</v>
      </c>
      <c r="D35" s="95">
        <v>0.71</v>
      </c>
      <c r="E35" s="2"/>
      <c r="F35" s="96">
        <v>4</v>
      </c>
      <c r="G35" s="97">
        <v>4.4999999999999998E-2</v>
      </c>
      <c r="H35" s="98">
        <v>0.71</v>
      </c>
      <c r="I35" s="3"/>
      <c r="J35" s="96">
        <v>4</v>
      </c>
      <c r="K35" s="97">
        <v>0.108</v>
      </c>
      <c r="L35" s="98">
        <v>0.71</v>
      </c>
      <c r="M35" s="1"/>
      <c r="N35" s="1"/>
      <c r="O35" s="1"/>
      <c r="P35" s="1"/>
      <c r="Q35" s="1"/>
      <c r="R35" s="1"/>
      <c r="S35" s="1"/>
      <c r="T35" s="1"/>
    </row>
    <row r="36" spans="1:20" ht="15.75" hidden="1" x14ac:dyDescent="0.25">
      <c r="A36" s="1"/>
      <c r="B36" s="93">
        <v>5</v>
      </c>
      <c r="C36" s="94">
        <v>0.123</v>
      </c>
      <c r="D36" s="95">
        <v>0.8</v>
      </c>
      <c r="E36" s="2"/>
      <c r="F36" s="96">
        <v>5</v>
      </c>
      <c r="G36" s="97">
        <v>3.9E-2</v>
      </c>
      <c r="H36" s="98">
        <v>0.8</v>
      </c>
      <c r="I36" s="3"/>
      <c r="J36" s="96">
        <v>5</v>
      </c>
      <c r="K36" s="97">
        <v>8.5999999999999993E-2</v>
      </c>
      <c r="L36" s="98">
        <v>0.8</v>
      </c>
      <c r="M36" s="1"/>
      <c r="N36" s="1"/>
      <c r="O36" s="1"/>
      <c r="P36" s="1"/>
      <c r="Q36" s="1"/>
      <c r="R36" s="1"/>
      <c r="S36" s="1"/>
      <c r="T36" s="1"/>
    </row>
    <row r="37" spans="1:20" ht="15.75" hidden="1" x14ac:dyDescent="0.25">
      <c r="A37" s="1"/>
      <c r="B37" s="93">
        <v>6</v>
      </c>
      <c r="C37" s="94">
        <v>0.108</v>
      </c>
      <c r="D37" s="95">
        <v>0.9</v>
      </c>
      <c r="E37" s="2"/>
      <c r="F37" s="96">
        <v>6</v>
      </c>
      <c r="G37" s="97">
        <v>3.2000000000000001E-2</v>
      </c>
      <c r="H37" s="98">
        <v>0.9</v>
      </c>
      <c r="I37" s="3"/>
      <c r="J37" s="96">
        <v>6</v>
      </c>
      <c r="K37" s="97">
        <v>7.5999999999999998E-2</v>
      </c>
      <c r="L37" s="98">
        <v>0.9</v>
      </c>
      <c r="M37" s="1"/>
      <c r="N37" s="1"/>
      <c r="O37" s="1"/>
      <c r="P37" s="1"/>
      <c r="Q37" s="1"/>
      <c r="R37" s="1"/>
      <c r="S37" s="1"/>
      <c r="T37" s="1"/>
    </row>
    <row r="38" spans="1:20" ht="15.75" hidden="1" x14ac:dyDescent="0.25">
      <c r="A38" s="1"/>
      <c r="B38" s="93">
        <v>7</v>
      </c>
      <c r="C38" s="94">
        <v>8.5999999999999993E-2</v>
      </c>
      <c r="D38" s="95">
        <v>1</v>
      </c>
      <c r="E38" s="2"/>
      <c r="F38" s="96">
        <v>7</v>
      </c>
      <c r="G38" s="97">
        <v>2.7E-2</v>
      </c>
      <c r="H38" s="98">
        <v>1</v>
      </c>
      <c r="I38" s="3"/>
      <c r="J38" s="96">
        <v>7</v>
      </c>
      <c r="K38" s="97">
        <v>6.6000000000000003E-2</v>
      </c>
      <c r="L38" s="98">
        <v>1</v>
      </c>
      <c r="M38" s="1"/>
      <c r="N38" s="1"/>
      <c r="O38" s="1"/>
      <c r="P38" s="1"/>
      <c r="Q38" s="1"/>
      <c r="R38" s="1"/>
      <c r="S38" s="1"/>
      <c r="T38" s="1"/>
    </row>
    <row r="39" spans="1:20" ht="15.75" hidden="1" x14ac:dyDescent="0.25">
      <c r="A39" s="1"/>
      <c r="B39" s="93">
        <v>8</v>
      </c>
      <c r="C39" s="94">
        <v>7.5999999999999998E-2</v>
      </c>
      <c r="D39" s="95">
        <v>1.1200000000000001</v>
      </c>
      <c r="E39" s="2"/>
      <c r="F39" s="96">
        <v>8</v>
      </c>
      <c r="G39" s="97">
        <v>2.1999999999999999E-2</v>
      </c>
      <c r="H39" s="98">
        <v>1.1200000000000001</v>
      </c>
      <c r="I39" s="3"/>
      <c r="J39" s="96">
        <v>8</v>
      </c>
      <c r="K39" s="97">
        <v>5.5E-2</v>
      </c>
      <c r="L39" s="98">
        <v>1.1200000000000001</v>
      </c>
      <c r="M39" s="1"/>
      <c r="N39" s="1"/>
      <c r="O39" s="1"/>
      <c r="P39" s="1"/>
      <c r="Q39" s="1"/>
      <c r="R39" s="1"/>
      <c r="S39" s="1"/>
      <c r="T39" s="1"/>
    </row>
    <row r="40" spans="1:20" ht="15.75" hidden="1" x14ac:dyDescent="0.25">
      <c r="A40" s="1"/>
      <c r="B40" s="93">
        <v>9</v>
      </c>
      <c r="C40" s="94">
        <v>6.6000000000000003E-2</v>
      </c>
      <c r="D40" s="98">
        <v>1.25</v>
      </c>
      <c r="E40" s="2"/>
      <c r="F40" s="96">
        <v>9</v>
      </c>
      <c r="G40" s="97">
        <v>1.7000000000000001E-2</v>
      </c>
      <c r="H40" s="98">
        <v>1.25</v>
      </c>
      <c r="I40" s="3"/>
      <c r="J40" s="96">
        <v>9</v>
      </c>
      <c r="K40" s="97">
        <v>4.4999999999999998E-2</v>
      </c>
      <c r="L40" s="98">
        <v>1.25</v>
      </c>
      <c r="M40" s="1"/>
      <c r="N40" s="1"/>
      <c r="O40" s="1"/>
      <c r="P40" s="1"/>
      <c r="Q40" s="1"/>
      <c r="R40" s="1"/>
      <c r="S40" s="1"/>
      <c r="T40" s="1"/>
    </row>
    <row r="41" spans="1:20" ht="15.75" hidden="1" x14ac:dyDescent="0.25">
      <c r="A41" s="1"/>
      <c r="B41" s="99">
        <v>10</v>
      </c>
      <c r="C41" s="94">
        <v>5.5E-2</v>
      </c>
      <c r="D41" s="95">
        <v>1.4</v>
      </c>
      <c r="E41" s="2"/>
      <c r="F41" s="96">
        <v>10</v>
      </c>
      <c r="G41" s="97">
        <v>1.4999999999999999E-2</v>
      </c>
      <c r="H41" s="98">
        <v>1.4</v>
      </c>
      <c r="I41" s="3"/>
      <c r="J41" s="96">
        <v>10</v>
      </c>
      <c r="K41" s="97">
        <v>3.9E-2</v>
      </c>
      <c r="L41" s="98">
        <v>1.4</v>
      </c>
      <c r="M41" s="1"/>
      <c r="N41" s="1"/>
      <c r="O41" s="1"/>
      <c r="P41" s="1"/>
      <c r="Q41" s="1"/>
      <c r="R41" s="1"/>
      <c r="S41" s="1"/>
      <c r="T41" s="1"/>
    </row>
    <row r="42" spans="1:20" ht="15.75" hidden="1" x14ac:dyDescent="0.25">
      <c r="A42" s="1"/>
      <c r="B42" s="99">
        <v>11</v>
      </c>
      <c r="C42" s="94">
        <v>4.4999999999999998E-2</v>
      </c>
      <c r="D42" s="98">
        <v>1.6</v>
      </c>
      <c r="E42" s="2"/>
      <c r="F42" s="96">
        <v>11</v>
      </c>
      <c r="G42" s="97">
        <v>1.2999999999999999E-2</v>
      </c>
      <c r="H42" s="98">
        <v>1.6</v>
      </c>
      <c r="I42" s="3"/>
      <c r="J42" s="96">
        <v>11</v>
      </c>
      <c r="K42" s="97">
        <v>3.3000000000000002E-2</v>
      </c>
      <c r="L42" s="98">
        <v>1.6</v>
      </c>
      <c r="M42" s="1"/>
      <c r="N42" s="1"/>
      <c r="O42" s="1"/>
      <c r="P42" s="1"/>
      <c r="Q42" s="1"/>
      <c r="R42" s="1"/>
      <c r="S42" s="1"/>
      <c r="T42" s="1"/>
    </row>
    <row r="43" spans="1:20" ht="15.75" hidden="1" x14ac:dyDescent="0.25">
      <c r="A43" s="1"/>
      <c r="B43" s="99">
        <v>12</v>
      </c>
      <c r="C43" s="94">
        <v>3.9E-2</v>
      </c>
      <c r="D43" s="98">
        <v>1.8</v>
      </c>
      <c r="E43" s="2"/>
      <c r="F43" s="96">
        <v>12</v>
      </c>
      <c r="G43" s="97">
        <v>1.0999999999999999E-2</v>
      </c>
      <c r="H43" s="98">
        <v>1.8</v>
      </c>
      <c r="I43" s="3"/>
      <c r="J43" s="96">
        <v>12</v>
      </c>
      <c r="K43" s="97">
        <v>2.7E-2</v>
      </c>
      <c r="L43" s="98">
        <v>1.8</v>
      </c>
      <c r="M43" s="1"/>
      <c r="N43" s="1"/>
      <c r="O43" s="1"/>
      <c r="P43" s="1"/>
      <c r="Q43" s="1"/>
      <c r="R43" s="1"/>
      <c r="S43" s="1"/>
      <c r="T43" s="1"/>
    </row>
    <row r="44" spans="1:20" ht="15.75" hidden="1" x14ac:dyDescent="0.25">
      <c r="A44" s="1"/>
      <c r="B44" s="99">
        <v>13</v>
      </c>
      <c r="C44" s="94">
        <v>3.3000000000000002E-2</v>
      </c>
      <c r="D44" s="98">
        <v>2</v>
      </c>
      <c r="E44" s="2"/>
      <c r="F44" s="96">
        <v>13</v>
      </c>
      <c r="G44" s="97">
        <v>8.9999999999999993E-3</v>
      </c>
      <c r="H44" s="98">
        <v>2</v>
      </c>
      <c r="I44" s="3"/>
      <c r="J44" s="96">
        <v>13</v>
      </c>
      <c r="K44" s="97">
        <v>2.3E-2</v>
      </c>
      <c r="L44" s="98">
        <v>2</v>
      </c>
      <c r="M44" s="1"/>
      <c r="N44" s="1"/>
      <c r="O44" s="1"/>
      <c r="P44" s="1"/>
      <c r="Q44" s="1"/>
      <c r="R44" s="1"/>
      <c r="S44" s="1"/>
      <c r="T44" s="1"/>
    </row>
    <row r="45" spans="1:20" ht="15.75" hidden="1" x14ac:dyDescent="0.25">
      <c r="A45" s="1"/>
      <c r="B45" s="99">
        <v>14</v>
      </c>
      <c r="C45" s="94">
        <v>2.7E-2</v>
      </c>
      <c r="D45" s="98">
        <v>2.2400000000000002</v>
      </c>
      <c r="E45" s="2"/>
      <c r="F45" s="96">
        <v>14</v>
      </c>
      <c r="G45" s="97">
        <v>7.0000000000000001E-3</v>
      </c>
      <c r="H45" s="98">
        <v>2.2400000000000002</v>
      </c>
      <c r="I45" s="3"/>
      <c r="J45" s="96">
        <v>14</v>
      </c>
      <c r="K45" s="97">
        <v>1.7999999999999999E-2</v>
      </c>
      <c r="L45" s="98">
        <v>2.2400000000000002</v>
      </c>
      <c r="M45" s="1"/>
      <c r="N45" s="1"/>
      <c r="O45" s="1"/>
      <c r="P45" s="1"/>
      <c r="Q45" s="1"/>
      <c r="R45" s="1"/>
      <c r="S45" s="1"/>
      <c r="T45" s="1"/>
    </row>
    <row r="46" spans="1:20" ht="15.75" hidden="1" x14ac:dyDescent="0.25">
      <c r="A46" s="1"/>
      <c r="B46" s="99">
        <v>15</v>
      </c>
      <c r="C46" s="94">
        <v>2.3E-2</v>
      </c>
      <c r="D46" s="98">
        <v>2.5</v>
      </c>
      <c r="E46" s="2"/>
      <c r="F46" s="96">
        <v>15</v>
      </c>
      <c r="G46" s="97">
        <v>5.0000000000000001E-3</v>
      </c>
      <c r="H46" s="98">
        <v>2.5</v>
      </c>
      <c r="I46" s="3"/>
      <c r="J46" s="96">
        <v>15</v>
      </c>
      <c r="K46" s="97">
        <v>1.6E-2</v>
      </c>
      <c r="L46" s="98">
        <v>2.5</v>
      </c>
      <c r="M46" s="1"/>
      <c r="N46" s="1"/>
      <c r="O46" s="1"/>
      <c r="P46" s="1"/>
      <c r="Q46" s="1"/>
      <c r="R46" s="1"/>
      <c r="S46" s="1"/>
      <c r="T46" s="1"/>
    </row>
    <row r="47" spans="1:20" ht="15.75" hidden="1" x14ac:dyDescent="0.25">
      <c r="A47" s="1"/>
      <c r="B47" s="99">
        <v>16</v>
      </c>
      <c r="C47" s="94">
        <v>1.7999999999999999E-2</v>
      </c>
      <c r="D47" s="98">
        <v>2.8</v>
      </c>
      <c r="E47" s="2"/>
      <c r="F47" s="96">
        <v>16</v>
      </c>
      <c r="G47" s="97">
        <v>3.0000000000000001E-3</v>
      </c>
      <c r="H47" s="98">
        <v>2.8</v>
      </c>
      <c r="I47" s="3"/>
      <c r="J47" s="96">
        <v>16</v>
      </c>
      <c r="K47" s="97">
        <v>1.35E-2</v>
      </c>
      <c r="L47" s="98">
        <v>2.8</v>
      </c>
      <c r="M47" s="1"/>
      <c r="N47" s="1"/>
      <c r="O47" s="1"/>
      <c r="P47" s="1"/>
      <c r="Q47" s="1"/>
      <c r="R47" s="1"/>
      <c r="S47" s="1"/>
      <c r="T47" s="1"/>
    </row>
    <row r="48" spans="1:20" ht="15.75" hidden="1" x14ac:dyDescent="0.25">
      <c r="A48" s="1"/>
      <c r="B48" s="99">
        <v>17</v>
      </c>
      <c r="C48" s="94">
        <v>1.4E-2</v>
      </c>
      <c r="D48" s="98">
        <v>3.15</v>
      </c>
      <c r="E48" s="2"/>
      <c r="F48" s="96">
        <v>17</v>
      </c>
      <c r="G48" s="97">
        <v>2E-3</v>
      </c>
      <c r="H48" s="98">
        <v>3.15</v>
      </c>
      <c r="I48" s="3"/>
      <c r="J48" s="96">
        <v>17</v>
      </c>
      <c r="K48" s="97">
        <v>1.15E-2</v>
      </c>
      <c r="L48" s="98">
        <v>3.15</v>
      </c>
      <c r="M48" s="1"/>
      <c r="N48" s="1"/>
      <c r="O48" s="1"/>
      <c r="P48" s="1"/>
      <c r="Q48" s="1"/>
      <c r="R48" s="1"/>
      <c r="S48" s="1"/>
      <c r="T48" s="1"/>
    </row>
    <row r="49" spans="1:20" ht="15.75" hidden="1" x14ac:dyDescent="0.25">
      <c r="A49" s="1"/>
      <c r="B49" s="99">
        <v>18</v>
      </c>
      <c r="C49" s="94">
        <v>0.01</v>
      </c>
      <c r="D49" s="98">
        <v>3.55</v>
      </c>
      <c r="E49" s="2"/>
      <c r="F49" s="96">
        <v>18</v>
      </c>
      <c r="G49" s="97"/>
      <c r="H49" s="98">
        <v>3.55</v>
      </c>
      <c r="I49" s="3"/>
      <c r="J49" s="96">
        <v>18</v>
      </c>
      <c r="K49" s="97">
        <v>8.9999999999999993E-3</v>
      </c>
      <c r="L49" s="98">
        <v>3.55</v>
      </c>
      <c r="M49" s="1"/>
      <c r="N49" s="1"/>
      <c r="O49" s="1"/>
      <c r="P49" s="1"/>
      <c r="Q49" s="1"/>
      <c r="R49" s="1"/>
      <c r="S49" s="1"/>
      <c r="T49" s="1"/>
    </row>
    <row r="50" spans="1:20" ht="15.75" hidden="1" x14ac:dyDescent="0.25">
      <c r="A50" s="1"/>
      <c r="B50" s="100">
        <v>19</v>
      </c>
      <c r="C50" s="94">
        <v>5.0000000000000001E-3</v>
      </c>
      <c r="D50" s="98">
        <v>4</v>
      </c>
      <c r="E50" s="2"/>
      <c r="F50" s="96">
        <v>19</v>
      </c>
      <c r="G50" s="97"/>
      <c r="H50" s="98">
        <v>4</v>
      </c>
      <c r="I50" s="3"/>
      <c r="J50" s="96">
        <v>19</v>
      </c>
      <c r="K50" s="97"/>
      <c r="L50" s="98">
        <v>4</v>
      </c>
      <c r="M50" s="1"/>
      <c r="N50" s="1"/>
      <c r="O50" s="1"/>
      <c r="P50" s="1"/>
      <c r="Q50" s="1"/>
      <c r="R50" s="1"/>
      <c r="S50" s="1"/>
      <c r="T50" s="1"/>
    </row>
    <row r="51" spans="1:20" ht="15.75" hidden="1" x14ac:dyDescent="0.25">
      <c r="A51" s="1"/>
      <c r="B51" s="96">
        <v>20</v>
      </c>
      <c r="C51" s="101"/>
      <c r="D51" s="95">
        <v>4.5</v>
      </c>
      <c r="E51" s="2"/>
      <c r="F51" s="96">
        <v>20</v>
      </c>
      <c r="G51" s="97"/>
      <c r="H51" s="98">
        <v>4.5</v>
      </c>
      <c r="I51" s="3"/>
      <c r="J51" s="96">
        <v>20</v>
      </c>
      <c r="K51" s="97"/>
      <c r="L51" s="98">
        <v>4.5</v>
      </c>
      <c r="M51" s="1"/>
      <c r="N51" s="1"/>
      <c r="O51" s="1"/>
      <c r="P51" s="1"/>
      <c r="Q51" s="1"/>
      <c r="R51" s="1"/>
      <c r="S51" s="1"/>
      <c r="T51" s="1"/>
    </row>
    <row r="52" spans="1:20" hidden="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  <row r="53" spans="1:20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</row>
    <row r="54" spans="1:20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</row>
    <row r="55" spans="1:20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6" spans="1:20" x14ac:dyDescent="0.2">
      <c r="T56" s="1"/>
    </row>
    <row r="57" spans="1:20" x14ac:dyDescent="0.2">
      <c r="T57" s="1"/>
    </row>
    <row r="58" spans="1:20" x14ac:dyDescent="0.2">
      <c r="T58" s="1"/>
    </row>
    <row r="59" spans="1:20" x14ac:dyDescent="0.2">
      <c r="T59" s="1"/>
    </row>
    <row r="60" spans="1:20" x14ac:dyDescent="0.2">
      <c r="T60" s="1"/>
    </row>
    <row r="61" spans="1:20" x14ac:dyDescent="0.2">
      <c r="T61" s="1"/>
    </row>
    <row r="62" spans="1:20" x14ac:dyDescent="0.2">
      <c r="T62" s="1"/>
    </row>
  </sheetData>
  <mergeCells count="16">
    <mergeCell ref="G2:I2"/>
    <mergeCell ref="G3:H3"/>
    <mergeCell ref="P17:Q17"/>
    <mergeCell ref="R17:S17"/>
    <mergeCell ref="A15:C17"/>
    <mergeCell ref="D15:G15"/>
    <mergeCell ref="H15:K15"/>
    <mergeCell ref="L15:S15"/>
    <mergeCell ref="L16:O16"/>
    <mergeCell ref="P16:S16"/>
    <mergeCell ref="D17:E17"/>
    <mergeCell ref="F17:G17"/>
    <mergeCell ref="H17:I17"/>
    <mergeCell ref="J17:K17"/>
    <mergeCell ref="L17:M17"/>
    <mergeCell ref="N17:O17"/>
  </mergeCells>
  <phoneticPr fontId="0" type="noConversion"/>
  <conditionalFormatting sqref="A19:C24">
    <cfRule type="cellIs" dxfId="25" priority="1" stopIfTrue="1" operator="notEqual">
      <formula>A18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Option Button 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247650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Option Button 5">
              <controlPr defaultSize="0" autoFill="0" autoLine="0" autoPict="0">
                <anchor moveWithCells="1">
                  <from>
                    <xdr:col>4</xdr:col>
                    <xdr:colOff>0</xdr:colOff>
                    <xdr:row>12</xdr:row>
                    <xdr:rowOff>180975</xdr:rowOff>
                  </from>
                  <to>
                    <xdr:col>5</xdr:col>
                    <xdr:colOff>152400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Option Button 6">
              <controlPr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180975</xdr:rowOff>
                  </from>
                  <to>
                    <xdr:col>6</xdr:col>
                    <xdr:colOff>323850</xdr:colOff>
                    <xdr:row>13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3"/>
  <dimension ref="A1:Y36"/>
  <sheetViews>
    <sheetView workbookViewId="0">
      <selection activeCell="K6" sqref="K6"/>
    </sheetView>
  </sheetViews>
  <sheetFormatPr baseColWidth="10" defaultRowHeight="12.75" x14ac:dyDescent="0.2"/>
  <cols>
    <col min="1" max="1" width="10.5703125" bestFit="1" customWidth="1"/>
    <col min="2" max="2" width="7.140625" bestFit="1" customWidth="1"/>
    <col min="3" max="3" width="6.5703125" bestFit="1" customWidth="1"/>
    <col min="4" max="4" width="6.140625" bestFit="1" customWidth="1"/>
    <col min="5" max="5" width="8.140625" bestFit="1" customWidth="1"/>
    <col min="6" max="6" width="8.7109375" bestFit="1" customWidth="1"/>
    <col min="7" max="7" width="11" bestFit="1" customWidth="1"/>
    <col min="8" max="8" width="8.7109375" bestFit="1" customWidth="1"/>
    <col min="9" max="9" width="12.5703125" bestFit="1" customWidth="1"/>
    <col min="10" max="10" width="12.5703125" customWidth="1"/>
    <col min="11" max="11" width="11.28515625" bestFit="1" customWidth="1"/>
    <col min="12" max="12" width="13" customWidth="1"/>
    <col min="13" max="13" width="11.28515625" customWidth="1"/>
    <col min="25" max="25" width="12.7109375" customWidth="1"/>
  </cols>
  <sheetData>
    <row r="1" spans="1:25" x14ac:dyDescent="0.2">
      <c r="A1" s="5"/>
      <c r="B1" s="5"/>
      <c r="C1" s="5"/>
      <c r="D1" s="5"/>
      <c r="E1" s="5"/>
      <c r="F1" s="11"/>
      <c r="G1" s="11"/>
      <c r="H1" s="11"/>
      <c r="I1" s="11"/>
      <c r="J1" s="11"/>
      <c r="K1" s="5"/>
      <c r="L1" s="5"/>
      <c r="M1" s="5"/>
    </row>
    <row r="2" spans="1:25" x14ac:dyDescent="0.2">
      <c r="A2" s="48"/>
      <c r="B2" s="48"/>
      <c r="C2" s="48"/>
      <c r="D2" s="48"/>
      <c r="E2" s="40"/>
      <c r="F2" s="282" t="s">
        <v>1055</v>
      </c>
      <c r="G2" s="282"/>
      <c r="H2" s="282"/>
      <c r="I2" s="282"/>
      <c r="J2" s="63"/>
      <c r="K2" s="40"/>
      <c r="L2" s="40"/>
      <c r="M2" s="40"/>
      <c r="N2" s="239" t="s">
        <v>1052</v>
      </c>
      <c r="O2" s="239" t="s">
        <v>1051</v>
      </c>
    </row>
    <row r="3" spans="1:25" x14ac:dyDescent="0.2">
      <c r="A3" s="48"/>
      <c r="B3" s="48"/>
      <c r="C3" s="48"/>
      <c r="D3" s="48"/>
      <c r="E3" s="40"/>
      <c r="F3" s="278" t="s">
        <v>21</v>
      </c>
      <c r="G3" s="278"/>
      <c r="H3" s="278"/>
      <c r="I3" s="24"/>
      <c r="J3" s="41" t="str">
        <f>IF(I3="","100 cm",IF(I3&lt;&gt;100,"Automatisk korrigering av dose",""))</f>
        <v>100 cm</v>
      </c>
      <c r="M3" s="41"/>
    </row>
    <row r="4" spans="1:25" x14ac:dyDescent="0.2">
      <c r="A4" s="48"/>
      <c r="B4" s="48"/>
      <c r="C4" s="44"/>
      <c r="D4" s="44"/>
      <c r="E4" s="40"/>
      <c r="F4" s="278" t="s">
        <v>22</v>
      </c>
      <c r="G4" s="278"/>
      <c r="H4" s="278"/>
      <c r="I4" s="24"/>
      <c r="J4" s="41" t="str">
        <f>IF(I4="","0 mm Cu","")</f>
        <v>0 mm Cu</v>
      </c>
      <c r="M4" s="41"/>
    </row>
    <row r="5" spans="1:25" x14ac:dyDescent="0.2">
      <c r="A5" s="40"/>
      <c r="B5" s="45"/>
      <c r="C5" s="46"/>
      <c r="D5" s="40"/>
      <c r="E5" s="40"/>
      <c r="F5" s="278" t="s">
        <v>928</v>
      </c>
      <c r="G5" s="278"/>
      <c r="H5" s="278"/>
      <c r="I5" s="24"/>
      <c r="J5" s="242"/>
      <c r="K5" s="40"/>
      <c r="L5" s="40"/>
      <c r="M5" s="40"/>
    </row>
    <row r="6" spans="1:25" x14ac:dyDescent="0.2">
      <c r="A6" s="40"/>
      <c r="B6" s="45"/>
      <c r="C6" s="46"/>
      <c r="D6" s="40"/>
      <c r="E6" s="40"/>
      <c r="F6" s="45"/>
      <c r="G6" s="45"/>
      <c r="H6" s="45"/>
      <c r="I6" s="47"/>
      <c r="J6" s="47"/>
      <c r="K6" s="40"/>
      <c r="L6" s="40"/>
      <c r="M6" s="40"/>
    </row>
    <row r="7" spans="1:25" x14ac:dyDescent="0.2">
      <c r="A7" s="278" t="s">
        <v>23</v>
      </c>
      <c r="B7" s="278"/>
      <c r="C7" s="278"/>
      <c r="D7" s="278"/>
      <c r="E7" s="278"/>
      <c r="F7" s="275" t="s">
        <v>24</v>
      </c>
      <c r="G7" s="276"/>
      <c r="H7" s="276"/>
      <c r="I7" s="276"/>
      <c r="J7" s="276"/>
      <c r="K7" s="276"/>
      <c r="L7" s="277"/>
      <c r="M7" s="45"/>
      <c r="N7" s="278" t="s">
        <v>23</v>
      </c>
      <c r="O7" s="278"/>
      <c r="P7" s="278"/>
      <c r="Q7" s="278"/>
      <c r="R7" s="278"/>
      <c r="S7" s="275" t="s">
        <v>24</v>
      </c>
      <c r="T7" s="276"/>
      <c r="U7" s="276"/>
      <c r="V7" s="276"/>
      <c r="W7" s="276"/>
      <c r="X7" s="276"/>
      <c r="Y7" s="277"/>
    </row>
    <row r="8" spans="1:25" ht="25.5" customHeight="1" x14ac:dyDescent="0.2">
      <c r="A8" s="274" t="s">
        <v>38</v>
      </c>
      <c r="B8" s="274" t="s">
        <v>25</v>
      </c>
      <c r="C8" s="274" t="s">
        <v>26</v>
      </c>
      <c r="D8" s="274" t="s">
        <v>27</v>
      </c>
      <c r="E8" s="274" t="s">
        <v>28</v>
      </c>
      <c r="F8" s="281" t="s">
        <v>25</v>
      </c>
      <c r="G8" s="274" t="s">
        <v>29</v>
      </c>
      <c r="H8" s="282" t="s">
        <v>27</v>
      </c>
      <c r="I8" s="274" t="s">
        <v>30</v>
      </c>
      <c r="J8" s="279" t="s">
        <v>1053</v>
      </c>
      <c r="K8" s="274" t="s">
        <v>1050</v>
      </c>
      <c r="L8" s="274" t="s">
        <v>1056</v>
      </c>
      <c r="N8" s="274" t="s">
        <v>38</v>
      </c>
      <c r="O8" s="274" t="s">
        <v>25</v>
      </c>
      <c r="P8" s="274" t="s">
        <v>26</v>
      </c>
      <c r="Q8" s="274" t="s">
        <v>27</v>
      </c>
      <c r="R8" s="274" t="s">
        <v>28</v>
      </c>
      <c r="S8" s="281" t="s">
        <v>25</v>
      </c>
      <c r="T8" s="274" t="s">
        <v>29</v>
      </c>
      <c r="U8" s="282" t="s">
        <v>27</v>
      </c>
      <c r="V8" s="274" t="s">
        <v>30</v>
      </c>
      <c r="W8" s="279" t="s">
        <v>1053</v>
      </c>
      <c r="X8" s="274" t="s">
        <v>1050</v>
      </c>
      <c r="Y8" s="274" t="s">
        <v>1056</v>
      </c>
    </row>
    <row r="9" spans="1:25" x14ac:dyDescent="0.2">
      <c r="A9" s="274"/>
      <c r="B9" s="274"/>
      <c r="C9" s="274"/>
      <c r="D9" s="274"/>
      <c r="E9" s="274"/>
      <c r="F9" s="281"/>
      <c r="G9" s="274"/>
      <c r="H9" s="282"/>
      <c r="I9" s="274"/>
      <c r="J9" s="280"/>
      <c r="K9" s="274"/>
      <c r="L9" s="274"/>
      <c r="M9" s="62"/>
      <c r="N9" s="274"/>
      <c r="O9" s="274"/>
      <c r="P9" s="274"/>
      <c r="Q9" s="274"/>
      <c r="R9" s="274"/>
      <c r="S9" s="281"/>
      <c r="T9" s="274"/>
      <c r="U9" s="282"/>
      <c r="V9" s="274"/>
      <c r="W9" s="280"/>
      <c r="X9" s="274"/>
      <c r="Y9" s="274"/>
    </row>
    <row r="10" spans="1:25" ht="12.75" customHeight="1" x14ac:dyDescent="0.2">
      <c r="A10" s="285" t="s">
        <v>33</v>
      </c>
      <c r="B10" s="22">
        <v>40</v>
      </c>
      <c r="C10" s="50">
        <v>100</v>
      </c>
      <c r="D10" s="50">
        <v>50</v>
      </c>
      <c r="E10" s="51">
        <f t="shared" ref="E10:E34" si="0">D10*C10/1000</f>
        <v>5</v>
      </c>
      <c r="F10" s="52">
        <f>'Rådata-røntgenrør'!A1</f>
        <v>0</v>
      </c>
      <c r="G10" s="53">
        <f>'Rådata-røntgenrør'!C1*1000*$I$3^2/100^2</f>
        <v>0</v>
      </c>
      <c r="H10" s="54">
        <f>'Rådata-røntgenrør'!G1*1000</f>
        <v>0</v>
      </c>
      <c r="I10" s="54">
        <f>'Rådata-røntgenrør'!Q1</f>
        <v>0</v>
      </c>
      <c r="J10" s="241" t="s">
        <v>1054</v>
      </c>
      <c r="K10" s="238">
        <f>IF(F10,F10/B10-1,0)</f>
        <v>0</v>
      </c>
      <c r="L10" s="241">
        <f>G10/E10</f>
        <v>0</v>
      </c>
      <c r="M10" s="240"/>
      <c r="N10" s="283" t="s">
        <v>34</v>
      </c>
      <c r="O10" s="60">
        <v>40</v>
      </c>
      <c r="P10" s="50">
        <v>80</v>
      </c>
      <c r="Q10" s="50">
        <v>50</v>
      </c>
      <c r="R10" s="51">
        <f t="shared" ref="R10:R34" si="1">Q10*P10/1000</f>
        <v>4</v>
      </c>
      <c r="S10" s="52">
        <f>'Rådata-røntgenrør'!A26</f>
        <v>0</v>
      </c>
      <c r="T10" s="53">
        <f>'Rådata-røntgenrør'!C26*1000*$I$3^2/100^2</f>
        <v>0</v>
      </c>
      <c r="U10" s="54">
        <f>'Rådata-røntgenrør'!G26*1000</f>
        <v>0</v>
      </c>
      <c r="V10" s="54">
        <f>'Rådata-røntgenrør'!Q26</f>
        <v>0</v>
      </c>
      <c r="W10" s="241" t="s">
        <v>1054</v>
      </c>
      <c r="X10" s="238">
        <f>IF(S10,S10/O10-1,0)</f>
        <v>0</v>
      </c>
      <c r="Y10" s="241">
        <f>T10/R10</f>
        <v>0</v>
      </c>
    </row>
    <row r="11" spans="1:25" ht="12.75" customHeight="1" x14ac:dyDescent="0.2">
      <c r="A11" s="286"/>
      <c r="B11" s="22">
        <v>50</v>
      </c>
      <c r="C11" s="50">
        <v>100</v>
      </c>
      <c r="D11" s="50">
        <v>50</v>
      </c>
      <c r="E11" s="51">
        <f>D11*C11/1000</f>
        <v>5</v>
      </c>
      <c r="F11" s="52">
        <f>'Rådata-røntgenrør'!A2</f>
        <v>0</v>
      </c>
      <c r="G11" s="53">
        <f>'Rådata-røntgenrør'!C2*1000*$I$3^2/100^2</f>
        <v>0</v>
      </c>
      <c r="H11" s="54">
        <f>'Rådata-røntgenrør'!G2*1000</f>
        <v>0</v>
      </c>
      <c r="I11" s="54">
        <f>'Rådata-røntgenrør'!Q2</f>
        <v>0</v>
      </c>
      <c r="J11" s="237">
        <v>1.8</v>
      </c>
      <c r="K11" s="238">
        <f t="shared" ref="K11:K34" si="2">IF(F11,F11/B11-1,0)</f>
        <v>0</v>
      </c>
      <c r="L11" s="241">
        <f t="shared" ref="L11:L34" si="3">G11/E11</f>
        <v>0</v>
      </c>
      <c r="M11" s="240"/>
      <c r="N11" s="283"/>
      <c r="O11" s="60">
        <v>50</v>
      </c>
      <c r="P11" s="50">
        <v>80</v>
      </c>
      <c r="Q11" s="50">
        <v>50</v>
      </c>
      <c r="R11" s="51">
        <f t="shared" si="1"/>
        <v>4</v>
      </c>
      <c r="S11" s="52">
        <f>'Rådata-røntgenrør'!A27</f>
        <v>0</v>
      </c>
      <c r="T11" s="53">
        <f>'Rådata-røntgenrør'!C27*1000*$I$3^2/100^2</f>
        <v>0</v>
      </c>
      <c r="U11" s="54">
        <f>'Rådata-røntgenrør'!G27*1000</f>
        <v>0</v>
      </c>
      <c r="V11" s="54">
        <f>'Rådata-røntgenrør'!Q27</f>
        <v>0</v>
      </c>
      <c r="W11" s="237">
        <v>1.8</v>
      </c>
      <c r="X11" s="238">
        <f t="shared" ref="X11:X34" si="4">IF(S11,S11/O11-1,0)</f>
        <v>0</v>
      </c>
      <c r="Y11" s="241">
        <f t="shared" ref="Y11:Y34" si="5">T11/R11</f>
        <v>0</v>
      </c>
    </row>
    <row r="12" spans="1:25" ht="12.75" customHeight="1" x14ac:dyDescent="0.2">
      <c r="A12" s="286"/>
      <c r="B12" s="22">
        <v>60</v>
      </c>
      <c r="C12" s="50">
        <v>100</v>
      </c>
      <c r="D12" s="50">
        <v>50</v>
      </c>
      <c r="E12" s="51">
        <f t="shared" si="0"/>
        <v>5</v>
      </c>
      <c r="F12" s="52">
        <f>'Rådata-røntgenrør'!A3</f>
        <v>0</v>
      </c>
      <c r="G12" s="53">
        <f>'Rådata-røntgenrør'!C3*1000*$I$3^2/100^2</f>
        <v>0</v>
      </c>
      <c r="H12" s="54">
        <f>'Rådata-røntgenrør'!G3*1000</f>
        <v>0</v>
      </c>
      <c r="I12" s="54">
        <f>'Rådata-røntgenrør'!Q3</f>
        <v>0</v>
      </c>
      <c r="J12" s="237">
        <v>2.2000000000000002</v>
      </c>
      <c r="K12" s="238">
        <f t="shared" si="2"/>
        <v>0</v>
      </c>
      <c r="L12" s="241">
        <f t="shared" si="3"/>
        <v>0</v>
      </c>
      <c r="M12" s="240"/>
      <c r="N12" s="283"/>
      <c r="O12" s="60">
        <v>60</v>
      </c>
      <c r="P12" s="50">
        <v>80</v>
      </c>
      <c r="Q12" s="50">
        <v>50</v>
      </c>
      <c r="R12" s="51">
        <f t="shared" si="1"/>
        <v>4</v>
      </c>
      <c r="S12" s="52">
        <f>'Rådata-røntgenrør'!A28</f>
        <v>0</v>
      </c>
      <c r="T12" s="53">
        <f>'Rådata-røntgenrør'!C28*1000*$I$3^2/100^2</f>
        <v>0</v>
      </c>
      <c r="U12" s="54">
        <f>'Rådata-røntgenrør'!G28*1000</f>
        <v>0</v>
      </c>
      <c r="V12" s="54">
        <f>'Rådata-røntgenrør'!Q28</f>
        <v>0</v>
      </c>
      <c r="W12" s="237">
        <v>2.2000000000000002</v>
      </c>
      <c r="X12" s="238">
        <f t="shared" si="4"/>
        <v>0</v>
      </c>
      <c r="Y12" s="241">
        <f t="shared" si="5"/>
        <v>0</v>
      </c>
    </row>
    <row r="13" spans="1:25" ht="13.5" customHeight="1" thickBot="1" x14ac:dyDescent="0.25">
      <c r="A13" s="286"/>
      <c r="B13" s="55">
        <v>70</v>
      </c>
      <c r="C13" s="50">
        <v>100</v>
      </c>
      <c r="D13" s="50">
        <v>50</v>
      </c>
      <c r="E13" s="51">
        <f>D13*C13/1000</f>
        <v>5</v>
      </c>
      <c r="F13" s="52">
        <f>'Rådata-røntgenrør'!A4</f>
        <v>0</v>
      </c>
      <c r="G13" s="53">
        <f>'Rådata-røntgenrør'!C4*1000*$I$3^2/100^2</f>
        <v>0</v>
      </c>
      <c r="H13" s="54">
        <f>'Rådata-røntgenrør'!G4*1000</f>
        <v>0</v>
      </c>
      <c r="I13" s="54">
        <f>'Rådata-røntgenrør'!Q4</f>
        <v>0</v>
      </c>
      <c r="J13" s="237">
        <v>2.5</v>
      </c>
      <c r="K13" s="238">
        <f t="shared" si="2"/>
        <v>0</v>
      </c>
      <c r="L13" s="241">
        <f t="shared" si="3"/>
        <v>0</v>
      </c>
      <c r="M13" s="240"/>
      <c r="N13" s="283"/>
      <c r="O13" s="61">
        <v>70</v>
      </c>
      <c r="P13" s="50">
        <v>80</v>
      </c>
      <c r="Q13" s="50">
        <v>50</v>
      </c>
      <c r="R13" s="51">
        <f t="shared" si="1"/>
        <v>4</v>
      </c>
      <c r="S13" s="52">
        <f>'Rådata-røntgenrør'!A29</f>
        <v>0</v>
      </c>
      <c r="T13" s="53">
        <f>'Rådata-røntgenrør'!C29*1000*$I$3^2/100^2</f>
        <v>0</v>
      </c>
      <c r="U13" s="54">
        <f>'Rådata-røntgenrør'!G29*1000</f>
        <v>0</v>
      </c>
      <c r="V13" s="54">
        <f>'Rådata-røntgenrør'!Q29</f>
        <v>0</v>
      </c>
      <c r="W13" s="237">
        <v>2.5</v>
      </c>
      <c r="X13" s="238">
        <f t="shared" si="4"/>
        <v>0</v>
      </c>
      <c r="Y13" s="241">
        <f t="shared" si="5"/>
        <v>0</v>
      </c>
    </row>
    <row r="14" spans="1:25" ht="14.25" customHeight="1" thickTop="1" thickBot="1" x14ac:dyDescent="0.25">
      <c r="A14" s="287"/>
      <c r="B14" s="56">
        <v>80</v>
      </c>
      <c r="C14" s="50">
        <v>100</v>
      </c>
      <c r="D14" s="50">
        <v>50</v>
      </c>
      <c r="E14" s="51">
        <f t="shared" si="0"/>
        <v>5</v>
      </c>
      <c r="F14" s="52">
        <f>'Rådata-røntgenrør'!A5</f>
        <v>0</v>
      </c>
      <c r="G14" s="53">
        <f>'Rådata-røntgenrør'!C5*1000*$I$3^2/100^2</f>
        <v>0</v>
      </c>
      <c r="H14" s="54">
        <f>'Rådata-røntgenrør'!G5*1000</f>
        <v>0</v>
      </c>
      <c r="I14" s="54">
        <f>'Rådata-røntgenrør'!Q5</f>
        <v>0</v>
      </c>
      <c r="J14" s="237">
        <v>2.9</v>
      </c>
      <c r="K14" s="238">
        <f t="shared" si="2"/>
        <v>0</v>
      </c>
      <c r="L14" s="241">
        <f t="shared" si="3"/>
        <v>0</v>
      </c>
      <c r="M14" s="240"/>
      <c r="N14" s="284"/>
      <c r="O14" s="56">
        <v>80</v>
      </c>
      <c r="P14" s="50">
        <v>80</v>
      </c>
      <c r="Q14" s="50">
        <v>50</v>
      </c>
      <c r="R14" s="51">
        <f t="shared" si="1"/>
        <v>4</v>
      </c>
      <c r="S14" s="52">
        <f>'Rådata-røntgenrør'!A30</f>
        <v>0</v>
      </c>
      <c r="T14" s="53">
        <f>'Rådata-røntgenrør'!C30*1000*$I$3^2/100^2</f>
        <v>0</v>
      </c>
      <c r="U14" s="54">
        <f>'Rådata-røntgenrør'!G30*1000</f>
        <v>0</v>
      </c>
      <c r="V14" s="54">
        <f>'Rådata-røntgenrør'!Q30</f>
        <v>0</v>
      </c>
      <c r="W14" s="237">
        <v>2.9</v>
      </c>
      <c r="X14" s="238">
        <f t="shared" si="4"/>
        <v>0</v>
      </c>
      <c r="Y14" s="241">
        <f t="shared" si="5"/>
        <v>0</v>
      </c>
    </row>
    <row r="15" spans="1:25" ht="14.25" customHeight="1" thickTop="1" thickBot="1" x14ac:dyDescent="0.25">
      <c r="A15" s="287"/>
      <c r="B15" s="56">
        <f>$B$14</f>
        <v>80</v>
      </c>
      <c r="C15" s="50">
        <v>100</v>
      </c>
      <c r="D15" s="50">
        <v>50</v>
      </c>
      <c r="E15" s="51">
        <f t="shared" si="0"/>
        <v>5</v>
      </c>
      <c r="F15" s="52">
        <f>'Rådata-røntgenrør'!A6</f>
        <v>0</v>
      </c>
      <c r="G15" s="53">
        <f>'Rådata-røntgenrør'!C6*1000*$I$3^2/100^2</f>
        <v>0</v>
      </c>
      <c r="H15" s="54">
        <f>'Rådata-røntgenrør'!G6*1000</f>
        <v>0</v>
      </c>
      <c r="I15" s="54">
        <f>'Rådata-røntgenrør'!Q6</f>
        <v>0</v>
      </c>
      <c r="J15" s="237">
        <v>2.9</v>
      </c>
      <c r="K15" s="238">
        <f t="shared" si="2"/>
        <v>0</v>
      </c>
      <c r="L15" s="241">
        <f t="shared" si="3"/>
        <v>0</v>
      </c>
      <c r="M15" s="240"/>
      <c r="N15" s="284"/>
      <c r="O15" s="57">
        <f>$O$14</f>
        <v>80</v>
      </c>
      <c r="P15" s="50">
        <v>80</v>
      </c>
      <c r="Q15" s="50">
        <v>50</v>
      </c>
      <c r="R15" s="51">
        <f t="shared" si="1"/>
        <v>4</v>
      </c>
      <c r="S15" s="52">
        <f>'Rådata-røntgenrør'!A31</f>
        <v>0</v>
      </c>
      <c r="T15" s="53">
        <f>'Rådata-røntgenrør'!C31*1000*$I$3^2/100^2</f>
        <v>0</v>
      </c>
      <c r="U15" s="54">
        <f>'Rådata-røntgenrør'!G31*1000</f>
        <v>0</v>
      </c>
      <c r="V15" s="54">
        <f>'Rådata-røntgenrør'!Q31</f>
        <v>0</v>
      </c>
      <c r="W15" s="237">
        <v>2.9</v>
      </c>
      <c r="X15" s="238">
        <f t="shared" si="4"/>
        <v>0</v>
      </c>
      <c r="Y15" s="241">
        <f t="shared" si="5"/>
        <v>0</v>
      </c>
    </row>
    <row r="16" spans="1:25" ht="14.25" customHeight="1" thickTop="1" thickBot="1" x14ac:dyDescent="0.25">
      <c r="A16" s="287"/>
      <c r="B16" s="56">
        <f t="shared" ref="B16:B21" si="6">$B$14</f>
        <v>80</v>
      </c>
      <c r="C16" s="50">
        <v>100</v>
      </c>
      <c r="D16" s="50">
        <v>50</v>
      </c>
      <c r="E16" s="51">
        <f t="shared" si="0"/>
        <v>5</v>
      </c>
      <c r="F16" s="52">
        <f>'Rådata-røntgenrør'!A7</f>
        <v>0</v>
      </c>
      <c r="G16" s="53">
        <f>'Rådata-røntgenrør'!C7*1000*$I$3^2/100^2</f>
        <v>0</v>
      </c>
      <c r="H16" s="54">
        <f>'Rådata-røntgenrør'!G7*1000</f>
        <v>0</v>
      </c>
      <c r="I16" s="54">
        <f>'Rådata-røntgenrør'!Q7</f>
        <v>0</v>
      </c>
      <c r="J16" s="237">
        <v>2.9</v>
      </c>
      <c r="K16" s="238">
        <f t="shared" si="2"/>
        <v>0</v>
      </c>
      <c r="L16" s="241">
        <f t="shared" si="3"/>
        <v>0</v>
      </c>
      <c r="M16" s="240"/>
      <c r="N16" s="284"/>
      <c r="O16" s="57">
        <f t="shared" ref="O16:O21" si="7">$O$14</f>
        <v>80</v>
      </c>
      <c r="P16" s="50">
        <v>80</v>
      </c>
      <c r="Q16" s="50">
        <v>50</v>
      </c>
      <c r="R16" s="51">
        <f t="shared" si="1"/>
        <v>4</v>
      </c>
      <c r="S16" s="52">
        <f>'Rådata-røntgenrør'!A32</f>
        <v>0</v>
      </c>
      <c r="T16" s="53">
        <f>'Rådata-røntgenrør'!C32*1000*$I$3^2/100^2</f>
        <v>0</v>
      </c>
      <c r="U16" s="54">
        <f>'Rådata-røntgenrør'!G32*1000</f>
        <v>0</v>
      </c>
      <c r="V16" s="54">
        <f>'Rådata-røntgenrør'!Q32</f>
        <v>0</v>
      </c>
      <c r="W16" s="237">
        <v>2.9</v>
      </c>
      <c r="X16" s="238">
        <f t="shared" si="4"/>
        <v>0</v>
      </c>
      <c r="Y16" s="241">
        <f t="shared" si="5"/>
        <v>0</v>
      </c>
    </row>
    <row r="17" spans="1:25" ht="14.25" customHeight="1" thickTop="1" thickBot="1" x14ac:dyDescent="0.25">
      <c r="A17" s="287"/>
      <c r="B17" s="56">
        <f t="shared" si="6"/>
        <v>80</v>
      </c>
      <c r="C17" s="50">
        <v>100</v>
      </c>
      <c r="D17" s="50">
        <v>50</v>
      </c>
      <c r="E17" s="51">
        <f t="shared" si="0"/>
        <v>5</v>
      </c>
      <c r="F17" s="52">
        <f>'Rådata-røntgenrør'!A8</f>
        <v>0</v>
      </c>
      <c r="G17" s="53">
        <f>'Rådata-røntgenrør'!C8*1000*$I$3^2/100^2</f>
        <v>0</v>
      </c>
      <c r="H17" s="54">
        <f>'Rådata-røntgenrør'!G8*1000</f>
        <v>0</v>
      </c>
      <c r="I17" s="54">
        <f>'Rådata-røntgenrør'!Q8</f>
        <v>0</v>
      </c>
      <c r="J17" s="237">
        <v>2.9</v>
      </c>
      <c r="K17" s="238">
        <f t="shared" si="2"/>
        <v>0</v>
      </c>
      <c r="L17" s="241">
        <f t="shared" si="3"/>
        <v>0</v>
      </c>
      <c r="M17" s="240"/>
      <c r="N17" s="284"/>
      <c r="O17" s="57">
        <f t="shared" si="7"/>
        <v>80</v>
      </c>
      <c r="P17" s="50">
        <v>80</v>
      </c>
      <c r="Q17" s="50">
        <v>50</v>
      </c>
      <c r="R17" s="51">
        <f t="shared" si="1"/>
        <v>4</v>
      </c>
      <c r="S17" s="52">
        <f>'Rådata-røntgenrør'!A33</f>
        <v>0</v>
      </c>
      <c r="T17" s="53">
        <f>'Rådata-røntgenrør'!C33*1000*$I$3^2/100^2</f>
        <v>0</v>
      </c>
      <c r="U17" s="54">
        <f>'Rådata-røntgenrør'!G33*1000</f>
        <v>0</v>
      </c>
      <c r="V17" s="54">
        <f>'Rådata-røntgenrør'!Q33</f>
        <v>0</v>
      </c>
      <c r="W17" s="237">
        <v>2.9</v>
      </c>
      <c r="X17" s="238">
        <f t="shared" si="4"/>
        <v>0</v>
      </c>
      <c r="Y17" s="241">
        <f t="shared" si="5"/>
        <v>0</v>
      </c>
    </row>
    <row r="18" spans="1:25" ht="14.25" customHeight="1" thickTop="1" thickBot="1" x14ac:dyDescent="0.25">
      <c r="A18" s="287"/>
      <c r="B18" s="56">
        <f t="shared" si="6"/>
        <v>80</v>
      </c>
      <c r="C18" s="50">
        <v>100</v>
      </c>
      <c r="D18" s="50">
        <v>50</v>
      </c>
      <c r="E18" s="51">
        <f t="shared" si="0"/>
        <v>5</v>
      </c>
      <c r="F18" s="52">
        <f>'Rådata-røntgenrør'!A9</f>
        <v>0</v>
      </c>
      <c r="G18" s="53">
        <f>'Rådata-røntgenrør'!C9*1000*$I$3^2/100^2</f>
        <v>0</v>
      </c>
      <c r="H18" s="54">
        <f>'Rådata-røntgenrør'!G9*1000</f>
        <v>0</v>
      </c>
      <c r="I18" s="54">
        <f>'Rådata-røntgenrør'!Q9</f>
        <v>0</v>
      </c>
      <c r="J18" s="237">
        <v>2.9</v>
      </c>
      <c r="K18" s="238">
        <f t="shared" si="2"/>
        <v>0</v>
      </c>
      <c r="L18" s="241">
        <f t="shared" si="3"/>
        <v>0</v>
      </c>
      <c r="M18" s="240"/>
      <c r="N18" s="284"/>
      <c r="O18" s="57">
        <f t="shared" si="7"/>
        <v>80</v>
      </c>
      <c r="P18" s="50">
        <v>80</v>
      </c>
      <c r="Q18" s="50">
        <v>50</v>
      </c>
      <c r="R18" s="51">
        <f t="shared" si="1"/>
        <v>4</v>
      </c>
      <c r="S18" s="52">
        <f>'Rådata-røntgenrør'!A34</f>
        <v>0</v>
      </c>
      <c r="T18" s="53">
        <f>'Rådata-røntgenrør'!C34*1000*$I$3^2/100^2</f>
        <v>0</v>
      </c>
      <c r="U18" s="54">
        <f>'Rådata-røntgenrør'!G34*1000</f>
        <v>0</v>
      </c>
      <c r="V18" s="54">
        <f>'Rådata-røntgenrør'!Q34</f>
        <v>0</v>
      </c>
      <c r="W18" s="237">
        <v>2.9</v>
      </c>
      <c r="X18" s="238">
        <f t="shared" si="4"/>
        <v>0</v>
      </c>
      <c r="Y18" s="241">
        <f t="shared" si="5"/>
        <v>0</v>
      </c>
    </row>
    <row r="19" spans="1:25" ht="14.25" customHeight="1" thickTop="1" thickBot="1" x14ac:dyDescent="0.25">
      <c r="A19" s="287"/>
      <c r="B19" s="56">
        <f t="shared" si="6"/>
        <v>80</v>
      </c>
      <c r="C19" s="50">
        <v>100</v>
      </c>
      <c r="D19" s="50">
        <v>50</v>
      </c>
      <c r="E19" s="51">
        <f t="shared" si="0"/>
        <v>5</v>
      </c>
      <c r="F19" s="52">
        <f>'Rådata-røntgenrør'!A10</f>
        <v>0</v>
      </c>
      <c r="G19" s="53">
        <f>'Rådata-røntgenrør'!C10*1000*$I$3^2/100^2</f>
        <v>0</v>
      </c>
      <c r="H19" s="54">
        <f>'Rådata-røntgenrør'!G10*1000</f>
        <v>0</v>
      </c>
      <c r="I19" s="54">
        <f>'Rådata-røntgenrør'!Q10</f>
        <v>0</v>
      </c>
      <c r="J19" s="237">
        <v>2.9</v>
      </c>
      <c r="K19" s="238">
        <f t="shared" si="2"/>
        <v>0</v>
      </c>
      <c r="L19" s="241">
        <f t="shared" si="3"/>
        <v>0</v>
      </c>
      <c r="M19" s="240"/>
      <c r="N19" s="284"/>
      <c r="O19" s="57">
        <f t="shared" si="7"/>
        <v>80</v>
      </c>
      <c r="P19" s="50">
        <v>80</v>
      </c>
      <c r="Q19" s="50">
        <v>50</v>
      </c>
      <c r="R19" s="51">
        <f t="shared" si="1"/>
        <v>4</v>
      </c>
      <c r="S19" s="52">
        <f>'Rådata-røntgenrør'!A35</f>
        <v>0</v>
      </c>
      <c r="T19" s="53">
        <f>'Rådata-røntgenrør'!C35*1000*$I$3^2/100^2</f>
        <v>0</v>
      </c>
      <c r="U19" s="54">
        <f>'Rådata-røntgenrør'!G35*1000</f>
        <v>0</v>
      </c>
      <c r="V19" s="54">
        <f>'Rådata-røntgenrør'!Q35</f>
        <v>0</v>
      </c>
      <c r="W19" s="237">
        <v>2.9</v>
      </c>
      <c r="X19" s="238">
        <f t="shared" si="4"/>
        <v>0</v>
      </c>
      <c r="Y19" s="241">
        <f t="shared" si="5"/>
        <v>0</v>
      </c>
    </row>
    <row r="20" spans="1:25" ht="14.25" customHeight="1" thickTop="1" thickBot="1" x14ac:dyDescent="0.25">
      <c r="A20" s="287"/>
      <c r="B20" s="56">
        <f t="shared" si="6"/>
        <v>80</v>
      </c>
      <c r="C20" s="50">
        <v>100</v>
      </c>
      <c r="D20" s="50">
        <v>50</v>
      </c>
      <c r="E20" s="51">
        <f t="shared" si="0"/>
        <v>5</v>
      </c>
      <c r="F20" s="52">
        <f>'Rådata-røntgenrør'!A11</f>
        <v>0</v>
      </c>
      <c r="G20" s="53">
        <f>'Rådata-røntgenrør'!C11*1000*$I$3^2/100^2</f>
        <v>0</v>
      </c>
      <c r="H20" s="54">
        <f>'Rådata-røntgenrør'!G11*1000</f>
        <v>0</v>
      </c>
      <c r="I20" s="54">
        <f>'Rådata-røntgenrør'!Q11</f>
        <v>0</v>
      </c>
      <c r="J20" s="237">
        <v>2.9</v>
      </c>
      <c r="K20" s="238">
        <f t="shared" si="2"/>
        <v>0</v>
      </c>
      <c r="L20" s="241">
        <f t="shared" si="3"/>
        <v>0</v>
      </c>
      <c r="M20" s="240"/>
      <c r="N20" s="284"/>
      <c r="O20" s="57">
        <f t="shared" si="7"/>
        <v>80</v>
      </c>
      <c r="P20" s="50">
        <v>80</v>
      </c>
      <c r="Q20" s="50">
        <v>50</v>
      </c>
      <c r="R20" s="51">
        <f t="shared" si="1"/>
        <v>4</v>
      </c>
      <c r="S20" s="52">
        <f>'Rådata-røntgenrør'!A36</f>
        <v>0</v>
      </c>
      <c r="T20" s="53">
        <f>'Rådata-røntgenrør'!C36*1000*$I$3^2/100^2</f>
        <v>0</v>
      </c>
      <c r="U20" s="54">
        <f>'Rådata-røntgenrør'!G36*1000</f>
        <v>0</v>
      </c>
      <c r="V20" s="54">
        <f>'Rådata-røntgenrør'!Q36</f>
        <v>0</v>
      </c>
      <c r="W20" s="237">
        <v>2.9</v>
      </c>
      <c r="X20" s="238">
        <f t="shared" si="4"/>
        <v>0</v>
      </c>
      <c r="Y20" s="241">
        <f t="shared" si="5"/>
        <v>0</v>
      </c>
    </row>
    <row r="21" spans="1:25" ht="13.5" customHeight="1" thickTop="1" x14ac:dyDescent="0.2">
      <c r="A21" s="287"/>
      <c r="B21" s="56">
        <f t="shared" si="6"/>
        <v>80</v>
      </c>
      <c r="C21" s="50">
        <v>100</v>
      </c>
      <c r="D21" s="50">
        <v>50</v>
      </c>
      <c r="E21" s="51">
        <f t="shared" si="0"/>
        <v>5</v>
      </c>
      <c r="F21" s="52">
        <f>'Rådata-røntgenrør'!A12</f>
        <v>0</v>
      </c>
      <c r="G21" s="53">
        <f>'Rådata-røntgenrør'!C12*1000*$I$3^2/100^2</f>
        <v>0</v>
      </c>
      <c r="H21" s="54">
        <f>'Rådata-røntgenrør'!G12*1000</f>
        <v>0</v>
      </c>
      <c r="I21" s="54">
        <f>'Rådata-røntgenrør'!Q12</f>
        <v>0</v>
      </c>
      <c r="J21" s="237">
        <v>2.9</v>
      </c>
      <c r="K21" s="238">
        <f t="shared" si="2"/>
        <v>0</v>
      </c>
      <c r="L21" s="241">
        <f t="shared" si="3"/>
        <v>0</v>
      </c>
      <c r="M21" s="240"/>
      <c r="N21" s="284"/>
      <c r="O21" s="57">
        <f t="shared" si="7"/>
        <v>80</v>
      </c>
      <c r="P21" s="50">
        <v>80</v>
      </c>
      <c r="Q21" s="50">
        <v>50</v>
      </c>
      <c r="R21" s="51">
        <f t="shared" si="1"/>
        <v>4</v>
      </c>
      <c r="S21" s="52">
        <f>'Rådata-røntgenrør'!A37</f>
        <v>0</v>
      </c>
      <c r="T21" s="53">
        <f>'Rådata-røntgenrør'!C37*1000*$I$3^2/100^2</f>
        <v>0</v>
      </c>
      <c r="U21" s="54">
        <f>'Rådata-røntgenrør'!G37*1000</f>
        <v>0</v>
      </c>
      <c r="V21" s="54">
        <f>'Rådata-røntgenrør'!Q37</f>
        <v>0</v>
      </c>
      <c r="W21" s="237">
        <v>2.9</v>
      </c>
      <c r="X21" s="238">
        <f t="shared" si="4"/>
        <v>0</v>
      </c>
      <c r="Y21" s="241">
        <f t="shared" si="5"/>
        <v>0</v>
      </c>
    </row>
    <row r="22" spans="1:25" ht="12.75" customHeight="1" x14ac:dyDescent="0.2">
      <c r="A22" s="286"/>
      <c r="B22" s="22">
        <v>90</v>
      </c>
      <c r="C22" s="50">
        <v>100</v>
      </c>
      <c r="D22" s="50">
        <v>50</v>
      </c>
      <c r="E22" s="51">
        <f t="shared" si="0"/>
        <v>5</v>
      </c>
      <c r="F22" s="52">
        <f>'Rådata-røntgenrør'!A13</f>
        <v>0</v>
      </c>
      <c r="G22" s="53">
        <f>'Rådata-røntgenrør'!C13*1000*$I$3^2/100^2</f>
        <v>0</v>
      </c>
      <c r="H22" s="54">
        <f>'Rådata-røntgenrør'!G13*1000</f>
        <v>0</v>
      </c>
      <c r="I22" s="54">
        <f>'Rådata-røntgenrør'!Q13</f>
        <v>0</v>
      </c>
      <c r="J22" s="237">
        <v>3.2</v>
      </c>
      <c r="K22" s="238">
        <f t="shared" si="2"/>
        <v>0</v>
      </c>
      <c r="L22" s="241">
        <f t="shared" si="3"/>
        <v>0</v>
      </c>
      <c r="M22" s="240"/>
      <c r="N22" s="283"/>
      <c r="O22" s="60">
        <v>90</v>
      </c>
      <c r="P22" s="50">
        <v>80</v>
      </c>
      <c r="Q22" s="50">
        <v>50</v>
      </c>
      <c r="R22" s="51">
        <f t="shared" si="1"/>
        <v>4</v>
      </c>
      <c r="S22" s="52">
        <f>'Rådata-røntgenrør'!A38</f>
        <v>0</v>
      </c>
      <c r="T22" s="53">
        <f>'Rådata-røntgenrør'!C38*1000*$I$3^2/100^2</f>
        <v>0</v>
      </c>
      <c r="U22" s="54">
        <f>'Rådata-røntgenrør'!G38*1000</f>
        <v>0</v>
      </c>
      <c r="V22" s="54">
        <f>'Rådata-røntgenrør'!Q38</f>
        <v>0</v>
      </c>
      <c r="W22" s="237">
        <v>3.2</v>
      </c>
      <c r="X22" s="238">
        <f t="shared" si="4"/>
        <v>0</v>
      </c>
      <c r="Y22" s="241">
        <f t="shared" si="5"/>
        <v>0</v>
      </c>
    </row>
    <row r="23" spans="1:25" ht="12.75" customHeight="1" x14ac:dyDescent="0.2">
      <c r="A23" s="286"/>
      <c r="B23" s="22">
        <v>110</v>
      </c>
      <c r="C23" s="50">
        <v>100</v>
      </c>
      <c r="D23" s="50">
        <v>50</v>
      </c>
      <c r="E23" s="51">
        <f t="shared" si="0"/>
        <v>5</v>
      </c>
      <c r="F23" s="52">
        <f>'Rådata-røntgenrør'!A14</f>
        <v>0</v>
      </c>
      <c r="G23" s="53">
        <f>'Rådata-røntgenrør'!C14*1000*$I$3^2/100^2</f>
        <v>0</v>
      </c>
      <c r="H23" s="54">
        <f>'Rådata-røntgenrør'!G14*1000</f>
        <v>0</v>
      </c>
      <c r="I23" s="54">
        <f>'Rådata-røntgenrør'!Q14</f>
        <v>0</v>
      </c>
      <c r="J23" s="237">
        <v>3.9</v>
      </c>
      <c r="K23" s="238">
        <f t="shared" si="2"/>
        <v>0</v>
      </c>
      <c r="L23" s="241">
        <f t="shared" si="3"/>
        <v>0</v>
      </c>
      <c r="M23" s="240"/>
      <c r="N23" s="283"/>
      <c r="O23" s="60">
        <v>110</v>
      </c>
      <c r="P23" s="50">
        <v>80</v>
      </c>
      <c r="Q23" s="50">
        <v>50</v>
      </c>
      <c r="R23" s="51">
        <f t="shared" si="1"/>
        <v>4</v>
      </c>
      <c r="S23" s="52">
        <f>'Rådata-røntgenrør'!A39</f>
        <v>0</v>
      </c>
      <c r="T23" s="53">
        <f>'Rådata-røntgenrør'!C39*1000*$I$3^2/100^2</f>
        <v>0</v>
      </c>
      <c r="U23" s="54">
        <f>'Rådata-røntgenrør'!G39*1000</f>
        <v>0</v>
      </c>
      <c r="V23" s="54">
        <f>'Rådata-røntgenrør'!Q39</f>
        <v>0</v>
      </c>
      <c r="W23" s="237">
        <v>3.9</v>
      </c>
      <c r="X23" s="238">
        <f t="shared" si="4"/>
        <v>0</v>
      </c>
      <c r="Y23" s="241">
        <f t="shared" si="5"/>
        <v>0</v>
      </c>
    </row>
    <row r="24" spans="1:25" ht="12.75" customHeight="1" x14ac:dyDescent="0.2">
      <c r="A24" s="286"/>
      <c r="B24" s="22">
        <v>125</v>
      </c>
      <c r="C24" s="50">
        <v>100</v>
      </c>
      <c r="D24" s="50">
        <v>50</v>
      </c>
      <c r="E24" s="51">
        <f t="shared" si="0"/>
        <v>5</v>
      </c>
      <c r="F24" s="52">
        <f>'Rådata-røntgenrør'!A15</f>
        <v>0</v>
      </c>
      <c r="G24" s="53">
        <f>'Rådata-røntgenrør'!C15*1000*$I$3^2/100^2</f>
        <v>0</v>
      </c>
      <c r="H24" s="54">
        <f>'Rådata-røntgenrør'!G15*1000</f>
        <v>0</v>
      </c>
      <c r="I24" s="54">
        <f>'Rådata-røntgenrør'!Q15</f>
        <v>0</v>
      </c>
      <c r="J24" s="237">
        <v>4.5</v>
      </c>
      <c r="K24" s="238">
        <f t="shared" si="2"/>
        <v>0</v>
      </c>
      <c r="L24" s="241">
        <f t="shared" si="3"/>
        <v>0</v>
      </c>
      <c r="M24" s="240"/>
      <c r="N24" s="283"/>
      <c r="O24" s="60">
        <v>125</v>
      </c>
      <c r="P24" s="50">
        <v>80</v>
      </c>
      <c r="Q24" s="50">
        <v>50</v>
      </c>
      <c r="R24" s="51">
        <f t="shared" si="1"/>
        <v>4</v>
      </c>
      <c r="S24" s="52">
        <f>'Rådata-røntgenrør'!A40</f>
        <v>0</v>
      </c>
      <c r="T24" s="53">
        <f>'Rådata-røntgenrør'!C40*1000*$I$3^2/100^2</f>
        <v>0</v>
      </c>
      <c r="U24" s="54">
        <f>'Rådata-røntgenrør'!G40*1000</f>
        <v>0</v>
      </c>
      <c r="V24" s="54">
        <f>'Rådata-røntgenrør'!Q40</f>
        <v>0</v>
      </c>
      <c r="W24" s="237">
        <v>4.5</v>
      </c>
      <c r="X24" s="238">
        <f t="shared" si="4"/>
        <v>0</v>
      </c>
      <c r="Y24" s="241">
        <f t="shared" si="5"/>
        <v>0</v>
      </c>
    </row>
    <row r="25" spans="1:25" ht="13.5" customHeight="1" thickBot="1" x14ac:dyDescent="0.25">
      <c r="A25" s="286"/>
      <c r="B25" s="22">
        <v>150</v>
      </c>
      <c r="C25" s="50">
        <v>100</v>
      </c>
      <c r="D25" s="50">
        <v>50</v>
      </c>
      <c r="E25" s="51">
        <f t="shared" si="0"/>
        <v>5</v>
      </c>
      <c r="F25" s="52">
        <f>'Rådata-røntgenrør'!A16</f>
        <v>0</v>
      </c>
      <c r="G25" s="53">
        <f>'Rådata-røntgenrør'!C16*1000*$I$3^2/100^2</f>
        <v>0</v>
      </c>
      <c r="H25" s="54">
        <f>'Rådata-røntgenrør'!G16*1000</f>
        <v>0</v>
      </c>
      <c r="I25" s="54">
        <f>'Rådata-røntgenrør'!Q16</f>
        <v>0</v>
      </c>
      <c r="J25" s="237">
        <v>5.4</v>
      </c>
      <c r="K25" s="238">
        <f t="shared" si="2"/>
        <v>0</v>
      </c>
      <c r="L25" s="241">
        <f t="shared" si="3"/>
        <v>0</v>
      </c>
      <c r="M25" s="240"/>
      <c r="N25" s="283"/>
      <c r="O25" s="60">
        <v>150</v>
      </c>
      <c r="P25" s="50">
        <v>80</v>
      </c>
      <c r="Q25" s="50">
        <v>50</v>
      </c>
      <c r="R25" s="51">
        <f t="shared" si="1"/>
        <v>4</v>
      </c>
      <c r="S25" s="52">
        <f>'Rådata-røntgenrør'!A41</f>
        <v>0</v>
      </c>
      <c r="T25" s="53">
        <f>'Rådata-røntgenrør'!C41*1000*$I$3^2/100^2</f>
        <v>0</v>
      </c>
      <c r="U25" s="54">
        <f>'Rådata-røntgenrør'!G41*1000</f>
        <v>0</v>
      </c>
      <c r="V25" s="54">
        <f>'Rådata-røntgenrør'!Q41</f>
        <v>0</v>
      </c>
      <c r="W25" s="237">
        <v>5.4</v>
      </c>
      <c r="X25" s="238">
        <f t="shared" si="4"/>
        <v>0</v>
      </c>
      <c r="Y25" s="241">
        <f t="shared" si="5"/>
        <v>0</v>
      </c>
    </row>
    <row r="26" spans="1:25" ht="14.25" customHeight="1" thickTop="1" thickBot="1" x14ac:dyDescent="0.25">
      <c r="A26" s="286"/>
      <c r="B26" s="56">
        <f>$B$14</f>
        <v>80</v>
      </c>
      <c r="C26" s="50">
        <v>200</v>
      </c>
      <c r="D26" s="50">
        <v>400</v>
      </c>
      <c r="E26" s="58">
        <f t="shared" si="0"/>
        <v>80</v>
      </c>
      <c r="F26" s="52">
        <f>'Rådata-røntgenrør'!A17</f>
        <v>0</v>
      </c>
      <c r="G26" s="53">
        <f>'Rådata-røntgenrør'!C17*1000*$I$3^2/100^2</f>
        <v>0</v>
      </c>
      <c r="H26" s="54">
        <f>'Rådata-røntgenrør'!G17*1000</f>
        <v>0</v>
      </c>
      <c r="I26" s="54">
        <f>'Rådata-røntgenrør'!Q17</f>
        <v>0</v>
      </c>
      <c r="J26" s="237">
        <v>2.9</v>
      </c>
      <c r="K26" s="238">
        <f t="shared" si="2"/>
        <v>0</v>
      </c>
      <c r="L26" s="241">
        <f t="shared" si="3"/>
        <v>0</v>
      </c>
      <c r="M26" s="240"/>
      <c r="N26" s="283"/>
      <c r="O26" s="57">
        <f t="shared" ref="O26:O34" si="8">$O$14</f>
        <v>80</v>
      </c>
      <c r="P26" s="50">
        <v>160</v>
      </c>
      <c r="Q26" s="50">
        <v>400</v>
      </c>
      <c r="R26" s="58">
        <f t="shared" si="1"/>
        <v>64</v>
      </c>
      <c r="S26" s="52">
        <f>'Rådata-røntgenrør'!A42</f>
        <v>0</v>
      </c>
      <c r="T26" s="53">
        <f>'Rådata-røntgenrør'!C42*1000*$I$3^2/100^2</f>
        <v>0</v>
      </c>
      <c r="U26" s="54">
        <f>'Rådata-røntgenrør'!G42*1000</f>
        <v>0</v>
      </c>
      <c r="V26" s="54">
        <f>'Rådata-røntgenrør'!Q42</f>
        <v>0</v>
      </c>
      <c r="W26" s="237">
        <v>2.9</v>
      </c>
      <c r="X26" s="238">
        <f t="shared" si="4"/>
        <v>0</v>
      </c>
      <c r="Y26" s="241">
        <f t="shared" si="5"/>
        <v>0</v>
      </c>
    </row>
    <row r="27" spans="1:25" ht="14.25" customHeight="1" thickTop="1" thickBot="1" x14ac:dyDescent="0.25">
      <c r="A27" s="286"/>
      <c r="B27" s="56">
        <f t="shared" ref="B27:B34" si="9">$B$14</f>
        <v>80</v>
      </c>
      <c r="C27" s="50">
        <v>200</v>
      </c>
      <c r="D27" s="50">
        <v>200</v>
      </c>
      <c r="E27" s="58">
        <f t="shared" si="0"/>
        <v>40</v>
      </c>
      <c r="F27" s="52">
        <f>'Rådata-røntgenrør'!A18</f>
        <v>0</v>
      </c>
      <c r="G27" s="53">
        <f>'Rådata-røntgenrør'!C18*1000*$I$3^2/100^2</f>
        <v>0</v>
      </c>
      <c r="H27" s="54">
        <f>'Rådata-røntgenrør'!G18*1000</f>
        <v>0</v>
      </c>
      <c r="I27" s="54">
        <f>'Rådata-røntgenrør'!Q18</f>
        <v>0</v>
      </c>
      <c r="J27" s="237">
        <v>2.9</v>
      </c>
      <c r="K27" s="238">
        <f t="shared" si="2"/>
        <v>0</v>
      </c>
      <c r="L27" s="241">
        <f t="shared" si="3"/>
        <v>0</v>
      </c>
      <c r="M27" s="240"/>
      <c r="N27" s="283"/>
      <c r="O27" s="57">
        <f t="shared" si="8"/>
        <v>80</v>
      </c>
      <c r="P27" s="50">
        <v>160</v>
      </c>
      <c r="Q27" s="50">
        <v>200</v>
      </c>
      <c r="R27" s="58">
        <f t="shared" si="1"/>
        <v>32</v>
      </c>
      <c r="S27" s="52">
        <f>'Rådata-røntgenrør'!A43</f>
        <v>0</v>
      </c>
      <c r="T27" s="53">
        <f>'Rådata-røntgenrør'!C43*1000*$I$3^2/100^2</f>
        <v>0</v>
      </c>
      <c r="U27" s="54">
        <f>'Rådata-røntgenrør'!G43*1000</f>
        <v>0</v>
      </c>
      <c r="V27" s="54">
        <f>'Rådata-røntgenrør'!Q43</f>
        <v>0</v>
      </c>
      <c r="W27" s="237">
        <v>2.9</v>
      </c>
      <c r="X27" s="238">
        <f t="shared" si="4"/>
        <v>0</v>
      </c>
      <c r="Y27" s="241">
        <f t="shared" si="5"/>
        <v>0</v>
      </c>
    </row>
    <row r="28" spans="1:25" ht="14.25" customHeight="1" thickTop="1" thickBot="1" x14ac:dyDescent="0.25">
      <c r="A28" s="286"/>
      <c r="B28" s="56">
        <f t="shared" si="9"/>
        <v>80</v>
      </c>
      <c r="C28" s="50">
        <v>200</v>
      </c>
      <c r="D28" s="50">
        <v>100</v>
      </c>
      <c r="E28" s="58">
        <f t="shared" si="0"/>
        <v>20</v>
      </c>
      <c r="F28" s="52">
        <f>'Rådata-røntgenrør'!A19</f>
        <v>0</v>
      </c>
      <c r="G28" s="53">
        <f>'Rådata-røntgenrør'!C19*1000*$I$3^2/100^2</f>
        <v>0</v>
      </c>
      <c r="H28" s="54">
        <f>'Rådata-røntgenrør'!G19*1000</f>
        <v>0</v>
      </c>
      <c r="I28" s="54">
        <f>'Rådata-røntgenrør'!Q19</f>
        <v>0</v>
      </c>
      <c r="J28" s="237">
        <v>2.9</v>
      </c>
      <c r="K28" s="238">
        <f t="shared" si="2"/>
        <v>0</v>
      </c>
      <c r="L28" s="241">
        <f t="shared" si="3"/>
        <v>0</v>
      </c>
      <c r="M28" s="240"/>
      <c r="N28" s="283"/>
      <c r="O28" s="57">
        <f t="shared" si="8"/>
        <v>80</v>
      </c>
      <c r="P28" s="50">
        <v>160</v>
      </c>
      <c r="Q28" s="50">
        <v>100</v>
      </c>
      <c r="R28" s="58">
        <f t="shared" si="1"/>
        <v>16</v>
      </c>
      <c r="S28" s="52">
        <f>'Rådata-røntgenrør'!A44</f>
        <v>0</v>
      </c>
      <c r="T28" s="53">
        <f>'Rådata-røntgenrør'!C44*1000*$I$3^2/100^2</f>
        <v>0</v>
      </c>
      <c r="U28" s="54">
        <f>'Rådata-røntgenrør'!G44*1000</f>
        <v>0</v>
      </c>
      <c r="V28" s="54">
        <f>'Rådata-røntgenrør'!Q44</f>
        <v>0</v>
      </c>
      <c r="W28" s="237">
        <v>2.9</v>
      </c>
      <c r="X28" s="238">
        <f t="shared" si="4"/>
        <v>0</v>
      </c>
      <c r="Y28" s="241">
        <f t="shared" si="5"/>
        <v>0</v>
      </c>
    </row>
    <row r="29" spans="1:25" ht="14.25" customHeight="1" thickTop="1" thickBot="1" x14ac:dyDescent="0.25">
      <c r="A29" s="286"/>
      <c r="B29" s="56">
        <f t="shared" si="9"/>
        <v>80</v>
      </c>
      <c r="C29" s="50">
        <v>200</v>
      </c>
      <c r="D29" s="50">
        <v>31.5</v>
      </c>
      <c r="E29" s="59">
        <f t="shared" si="0"/>
        <v>6.3</v>
      </c>
      <c r="F29" s="52">
        <f>'Rådata-røntgenrør'!A20</f>
        <v>0</v>
      </c>
      <c r="G29" s="53">
        <f>'Rådata-røntgenrør'!C20*1000*$I$3^2/100^2</f>
        <v>0</v>
      </c>
      <c r="H29" s="54">
        <f>'Rådata-røntgenrør'!G20*1000</f>
        <v>0</v>
      </c>
      <c r="I29" s="54">
        <f>'Rådata-røntgenrør'!Q20</f>
        <v>0</v>
      </c>
      <c r="J29" s="237">
        <v>2.9</v>
      </c>
      <c r="K29" s="238">
        <f t="shared" si="2"/>
        <v>0</v>
      </c>
      <c r="L29" s="241">
        <f t="shared" si="3"/>
        <v>0</v>
      </c>
      <c r="M29" s="240"/>
      <c r="N29" s="283"/>
      <c r="O29" s="57">
        <f t="shared" si="8"/>
        <v>80</v>
      </c>
      <c r="P29" s="50">
        <v>160</v>
      </c>
      <c r="Q29" s="50">
        <v>32</v>
      </c>
      <c r="R29" s="59">
        <f t="shared" si="1"/>
        <v>5.12</v>
      </c>
      <c r="S29" s="52">
        <f>'Rådata-røntgenrør'!A45</f>
        <v>0</v>
      </c>
      <c r="T29" s="53">
        <f>'Rådata-røntgenrør'!C45*1000*$I$3^2/100^2</f>
        <v>0</v>
      </c>
      <c r="U29" s="54">
        <f>'Rådata-røntgenrør'!G45*1000</f>
        <v>0</v>
      </c>
      <c r="V29" s="54">
        <f>'Rådata-røntgenrør'!Q45</f>
        <v>0</v>
      </c>
      <c r="W29" s="237">
        <v>2.9</v>
      </c>
      <c r="X29" s="238">
        <f t="shared" si="4"/>
        <v>0</v>
      </c>
      <c r="Y29" s="241">
        <f t="shared" si="5"/>
        <v>0</v>
      </c>
    </row>
    <row r="30" spans="1:25" ht="14.25" customHeight="1" thickTop="1" thickBot="1" x14ac:dyDescent="0.25">
      <c r="A30" s="286"/>
      <c r="B30" s="56">
        <f t="shared" si="9"/>
        <v>80</v>
      </c>
      <c r="C30" s="50">
        <v>200</v>
      </c>
      <c r="D30" s="50">
        <v>10</v>
      </c>
      <c r="E30" s="58">
        <f t="shared" si="0"/>
        <v>2</v>
      </c>
      <c r="F30" s="52">
        <f>'Rådata-røntgenrør'!A21</f>
        <v>0</v>
      </c>
      <c r="G30" s="53">
        <f>'Rådata-røntgenrør'!C21*1000*$I$3^2/100^2</f>
        <v>0</v>
      </c>
      <c r="H30" s="54">
        <f>'Rådata-røntgenrør'!G21*1000</f>
        <v>0</v>
      </c>
      <c r="I30" s="54">
        <f>'Rådata-røntgenrør'!Q21</f>
        <v>0</v>
      </c>
      <c r="J30" s="237">
        <v>2.9</v>
      </c>
      <c r="K30" s="238">
        <f t="shared" si="2"/>
        <v>0</v>
      </c>
      <c r="L30" s="241">
        <f t="shared" si="3"/>
        <v>0</v>
      </c>
      <c r="M30" s="240"/>
      <c r="N30" s="283"/>
      <c r="O30" s="57">
        <f t="shared" si="8"/>
        <v>80</v>
      </c>
      <c r="P30" s="50">
        <v>160</v>
      </c>
      <c r="Q30" s="50">
        <v>10</v>
      </c>
      <c r="R30" s="59">
        <f t="shared" si="1"/>
        <v>1.6</v>
      </c>
      <c r="S30" s="52">
        <f>'Rådata-røntgenrør'!A46</f>
        <v>0</v>
      </c>
      <c r="T30" s="53">
        <f>'Rådata-røntgenrør'!C46*1000*$I$3^2/100^2</f>
        <v>0</v>
      </c>
      <c r="U30" s="54">
        <f>'Rådata-røntgenrør'!G46*1000</f>
        <v>0</v>
      </c>
      <c r="V30" s="54">
        <f>'Rådata-røntgenrør'!Q46</f>
        <v>0</v>
      </c>
      <c r="W30" s="237">
        <v>2.9</v>
      </c>
      <c r="X30" s="238">
        <f t="shared" si="4"/>
        <v>0</v>
      </c>
      <c r="Y30" s="241">
        <f t="shared" si="5"/>
        <v>0</v>
      </c>
    </row>
    <row r="31" spans="1:25" ht="14.25" customHeight="1" thickTop="1" thickBot="1" x14ac:dyDescent="0.25">
      <c r="A31" s="286"/>
      <c r="B31" s="56">
        <f t="shared" si="9"/>
        <v>80</v>
      </c>
      <c r="C31" s="50">
        <v>160</v>
      </c>
      <c r="D31" s="50">
        <v>50</v>
      </c>
      <c r="E31" s="43">
        <f t="shared" si="0"/>
        <v>8</v>
      </c>
      <c r="F31" s="52">
        <f>'Rådata-røntgenrør'!A22</f>
        <v>0</v>
      </c>
      <c r="G31" s="53">
        <f>'Rådata-røntgenrør'!C22*1000*$I$3^2/100^2</f>
        <v>0</v>
      </c>
      <c r="H31" s="54">
        <f>'Rådata-røntgenrør'!G22*1000</f>
        <v>0</v>
      </c>
      <c r="I31" s="54">
        <f>'Rådata-røntgenrør'!Q22</f>
        <v>0</v>
      </c>
      <c r="J31" s="237">
        <v>2.9</v>
      </c>
      <c r="K31" s="238">
        <f t="shared" si="2"/>
        <v>0</v>
      </c>
      <c r="L31" s="241">
        <f t="shared" si="3"/>
        <v>0</v>
      </c>
      <c r="M31" s="240"/>
      <c r="N31" s="283"/>
      <c r="O31" s="57">
        <f t="shared" si="8"/>
        <v>80</v>
      </c>
      <c r="P31" s="22">
        <v>80</v>
      </c>
      <c r="Q31" s="22">
        <v>50</v>
      </c>
      <c r="R31" s="49">
        <f t="shared" si="1"/>
        <v>4</v>
      </c>
      <c r="S31" s="52">
        <f>'Rådata-røntgenrør'!A47</f>
        <v>0</v>
      </c>
      <c r="T31" s="53">
        <f>'Rådata-røntgenrør'!C47*1000*$I$3^2/100^2</f>
        <v>0</v>
      </c>
      <c r="U31" s="54">
        <f>'Rådata-røntgenrør'!G47*1000</f>
        <v>0</v>
      </c>
      <c r="V31" s="54">
        <f>'Rådata-røntgenrør'!Q47</f>
        <v>0</v>
      </c>
      <c r="W31" s="237">
        <v>2.9</v>
      </c>
      <c r="X31" s="238">
        <f t="shared" si="4"/>
        <v>0</v>
      </c>
      <c r="Y31" s="241">
        <f t="shared" si="5"/>
        <v>0</v>
      </c>
    </row>
    <row r="32" spans="1:25" ht="14.25" customHeight="1" thickTop="1" thickBot="1" x14ac:dyDescent="0.25">
      <c r="A32" s="286"/>
      <c r="B32" s="56">
        <f t="shared" si="9"/>
        <v>80</v>
      </c>
      <c r="C32" s="50">
        <v>250</v>
      </c>
      <c r="D32" s="50">
        <v>50</v>
      </c>
      <c r="E32" s="43">
        <f t="shared" si="0"/>
        <v>12.5</v>
      </c>
      <c r="F32" s="52">
        <f>'Rådata-røntgenrør'!A23</f>
        <v>0</v>
      </c>
      <c r="G32" s="53">
        <f>'Rådata-røntgenrør'!C23*1000*$I$3^2/100^2</f>
        <v>0</v>
      </c>
      <c r="H32" s="54">
        <f>'Rådata-røntgenrør'!G23*1000</f>
        <v>0</v>
      </c>
      <c r="I32" s="54">
        <f>'Rådata-røntgenrør'!Q23</f>
        <v>0</v>
      </c>
      <c r="J32" s="237">
        <v>2.9</v>
      </c>
      <c r="K32" s="238">
        <f t="shared" si="2"/>
        <v>0</v>
      </c>
      <c r="L32" s="241">
        <f t="shared" si="3"/>
        <v>0</v>
      </c>
      <c r="M32" s="240"/>
      <c r="N32" s="283"/>
      <c r="O32" s="57">
        <f t="shared" si="8"/>
        <v>80</v>
      </c>
      <c r="P32" s="22">
        <v>100</v>
      </c>
      <c r="Q32" s="22">
        <v>50</v>
      </c>
      <c r="R32" s="49">
        <f t="shared" si="1"/>
        <v>5</v>
      </c>
      <c r="S32" s="52">
        <f>'Rådata-røntgenrør'!A48</f>
        <v>0</v>
      </c>
      <c r="T32" s="53">
        <f>'Rådata-røntgenrør'!C48*1000*$I$3^2/100^2</f>
        <v>0</v>
      </c>
      <c r="U32" s="54">
        <f>'Rådata-røntgenrør'!G48*1000</f>
        <v>0</v>
      </c>
      <c r="V32" s="54">
        <f>'Rådata-røntgenrør'!Q48</f>
        <v>0</v>
      </c>
      <c r="W32" s="237">
        <v>2.9</v>
      </c>
      <c r="X32" s="238">
        <f t="shared" si="4"/>
        <v>0</v>
      </c>
      <c r="Y32" s="241">
        <f t="shared" si="5"/>
        <v>0</v>
      </c>
    </row>
    <row r="33" spans="1:25" ht="14.25" customHeight="1" thickTop="1" thickBot="1" x14ac:dyDescent="0.25">
      <c r="A33" s="286"/>
      <c r="B33" s="56">
        <f t="shared" si="9"/>
        <v>80</v>
      </c>
      <c r="C33" s="50">
        <v>320</v>
      </c>
      <c r="D33" s="50">
        <v>50</v>
      </c>
      <c r="E33" s="43">
        <f t="shared" si="0"/>
        <v>16</v>
      </c>
      <c r="F33" s="52">
        <f>'Rådata-røntgenrør'!A24</f>
        <v>0</v>
      </c>
      <c r="G33" s="53">
        <f>'Rådata-røntgenrør'!C24*1000*$I$3^2/100^2</f>
        <v>0</v>
      </c>
      <c r="H33" s="54">
        <f>'Rådata-røntgenrør'!G24*1000</f>
        <v>0</v>
      </c>
      <c r="I33" s="54">
        <f>'Rådata-røntgenrør'!Q24</f>
        <v>0</v>
      </c>
      <c r="J33" s="237">
        <v>2.9</v>
      </c>
      <c r="K33" s="238">
        <f t="shared" si="2"/>
        <v>0</v>
      </c>
      <c r="L33" s="241">
        <f t="shared" si="3"/>
        <v>0</v>
      </c>
      <c r="M33" s="240"/>
      <c r="N33" s="283"/>
      <c r="O33" s="57">
        <f t="shared" si="8"/>
        <v>80</v>
      </c>
      <c r="P33" s="22">
        <v>125</v>
      </c>
      <c r="Q33" s="22">
        <v>50</v>
      </c>
      <c r="R33" s="49">
        <f t="shared" si="1"/>
        <v>6.25</v>
      </c>
      <c r="S33" s="52">
        <f>'Rådata-røntgenrør'!A49</f>
        <v>0</v>
      </c>
      <c r="T33" s="53">
        <f>'Rådata-røntgenrør'!C49*1000*$I$3^2/100^2</f>
        <v>0</v>
      </c>
      <c r="U33" s="54">
        <f>'Rådata-røntgenrør'!G49*1000</f>
        <v>0</v>
      </c>
      <c r="V33" s="54">
        <f>'Rådata-røntgenrør'!Q49</f>
        <v>0</v>
      </c>
      <c r="W33" s="237">
        <v>2.9</v>
      </c>
      <c r="X33" s="238">
        <f t="shared" si="4"/>
        <v>0</v>
      </c>
      <c r="Y33" s="241">
        <f t="shared" si="5"/>
        <v>0</v>
      </c>
    </row>
    <row r="34" spans="1:25" ht="13.5" customHeight="1" thickTop="1" x14ac:dyDescent="0.2">
      <c r="A34" s="288"/>
      <c r="B34" s="56">
        <f t="shared" si="9"/>
        <v>80</v>
      </c>
      <c r="C34" s="50">
        <v>400</v>
      </c>
      <c r="D34" s="50">
        <v>50</v>
      </c>
      <c r="E34" s="43">
        <f t="shared" si="0"/>
        <v>20</v>
      </c>
      <c r="F34" s="52">
        <f>'Rådata-røntgenrør'!A25</f>
        <v>0</v>
      </c>
      <c r="G34" s="53">
        <f>'Rådata-røntgenrør'!C25*1000*$I$3^2/100^2</f>
        <v>0</v>
      </c>
      <c r="H34" s="54">
        <f>'Rådata-røntgenrør'!G25*1000</f>
        <v>0</v>
      </c>
      <c r="I34" s="54">
        <f>'Rådata-røntgenrør'!Q25</f>
        <v>0</v>
      </c>
      <c r="J34" s="237">
        <v>2.9</v>
      </c>
      <c r="K34" s="238">
        <f t="shared" si="2"/>
        <v>0</v>
      </c>
      <c r="L34" s="241">
        <f t="shared" si="3"/>
        <v>0</v>
      </c>
      <c r="M34" s="240"/>
      <c r="N34" s="283"/>
      <c r="O34" s="57">
        <f t="shared" si="8"/>
        <v>80</v>
      </c>
      <c r="P34" s="22">
        <v>200</v>
      </c>
      <c r="Q34" s="22">
        <v>50</v>
      </c>
      <c r="R34" s="49">
        <f t="shared" si="1"/>
        <v>10</v>
      </c>
      <c r="S34" s="52">
        <f>'Rådata-røntgenrør'!A50</f>
        <v>0</v>
      </c>
      <c r="T34" s="53">
        <f>'Rådata-røntgenrør'!C50*1000*$I$3^2/100^2</f>
        <v>0</v>
      </c>
      <c r="U34" s="54">
        <f>'Rådata-røntgenrør'!G50*1000</f>
        <v>0</v>
      </c>
      <c r="V34" s="54">
        <f>'Rådata-røntgenrør'!Q50</f>
        <v>0</v>
      </c>
      <c r="W34" s="237">
        <v>2.9</v>
      </c>
      <c r="X34" s="238">
        <f t="shared" si="4"/>
        <v>0</v>
      </c>
      <c r="Y34" s="241">
        <f t="shared" si="5"/>
        <v>0</v>
      </c>
    </row>
    <row r="35" spans="1:25" x14ac:dyDescent="0.2">
      <c r="M35" s="1"/>
    </row>
    <row r="36" spans="1:25" x14ac:dyDescent="0.2">
      <c r="M36" s="1"/>
    </row>
  </sheetData>
  <mergeCells count="34">
    <mergeCell ref="V8:V9"/>
    <mergeCell ref="A10:A34"/>
    <mergeCell ref="A8:A9"/>
    <mergeCell ref="B8:B9"/>
    <mergeCell ref="C8:C9"/>
    <mergeCell ref="D8:D9"/>
    <mergeCell ref="F2:I2"/>
    <mergeCell ref="F3:H3"/>
    <mergeCell ref="F5:H5"/>
    <mergeCell ref="N10:N34"/>
    <mergeCell ref="G8:G9"/>
    <mergeCell ref="H8:H9"/>
    <mergeCell ref="I8:I9"/>
    <mergeCell ref="F8:F9"/>
    <mergeCell ref="K8:K9"/>
    <mergeCell ref="L8:L9"/>
    <mergeCell ref="J8:J9"/>
    <mergeCell ref="N8:N9"/>
    <mergeCell ref="Y8:Y9"/>
    <mergeCell ref="F7:L7"/>
    <mergeCell ref="S7:Y7"/>
    <mergeCell ref="F4:H4"/>
    <mergeCell ref="A7:E7"/>
    <mergeCell ref="N7:R7"/>
    <mergeCell ref="E8:E9"/>
    <mergeCell ref="X8:X9"/>
    <mergeCell ref="W8:W9"/>
    <mergeCell ref="O8:O9"/>
    <mergeCell ref="P8:P9"/>
    <mergeCell ref="Q8:Q9"/>
    <mergeCell ref="R8:R9"/>
    <mergeCell ref="S8:S9"/>
    <mergeCell ref="T8:T9"/>
    <mergeCell ref="U8:U9"/>
  </mergeCells>
  <phoneticPr fontId="0" type="noConversion"/>
  <conditionalFormatting sqref="O26:Q34 B10:D34 O11:O25 Q11:Q25">
    <cfRule type="cellIs" dxfId="24" priority="5" stopIfTrue="1" operator="notEqual">
      <formula>B9</formula>
    </cfRule>
  </conditionalFormatting>
  <conditionalFormatting sqref="E10 E26:E30 R10 R26:R30">
    <cfRule type="expression" dxfId="23" priority="12" stopIfTrue="1">
      <formula>$N$9=FALSE</formula>
    </cfRule>
    <cfRule type="expression" dxfId="22" priority="13" stopIfTrue="1">
      <formula>$N$9=TRUE</formula>
    </cfRule>
  </conditionalFormatting>
  <conditionalFormatting sqref="R11:R25 E11:E25">
    <cfRule type="expression" dxfId="21" priority="14" stopIfTrue="1">
      <formula>$N$9=FALSE</formula>
    </cfRule>
    <cfRule type="expression" dxfId="20" priority="15" stopIfTrue="1">
      <formula>$N$9=TRUE</formula>
    </cfRule>
  </conditionalFormatting>
  <conditionalFormatting sqref="E31:E34 R31:R34">
    <cfRule type="expression" dxfId="19" priority="16" stopIfTrue="1">
      <formula>$N$9=TRUE</formula>
    </cfRule>
  </conditionalFormatting>
  <pageMargins left="0.75" right="0.75" top="1" bottom="1" header="0.5" footer="0.5"/>
  <headerFooter alignWithMargins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8"/>
  <dimension ref="A1:AN78"/>
  <sheetViews>
    <sheetView workbookViewId="0">
      <selection sqref="A1:H32"/>
    </sheetView>
  </sheetViews>
  <sheetFormatPr baseColWidth="10" defaultRowHeight="12.75" x14ac:dyDescent="0.2"/>
  <cols>
    <col min="10" max="10" width="14.140625" customWidth="1"/>
    <col min="11" max="11" width="40.28515625" customWidth="1"/>
    <col min="12" max="12" width="18.42578125" customWidth="1"/>
    <col min="14" max="14" width="13.7109375" customWidth="1"/>
  </cols>
  <sheetData>
    <row r="1" spans="1:21" ht="13.5" customHeight="1" x14ac:dyDescent="0.2"/>
    <row r="2" spans="1:21" ht="13.5" customHeight="1" x14ac:dyDescent="0.2">
      <c r="A2" s="309" t="s">
        <v>56</v>
      </c>
      <c r="B2" s="310"/>
      <c r="C2" s="311"/>
      <c r="D2" s="312"/>
      <c r="E2" s="313"/>
      <c r="J2" s="309" t="s">
        <v>57</v>
      </c>
      <c r="K2" s="310"/>
      <c r="L2" s="257" t="s">
        <v>65</v>
      </c>
      <c r="M2" s="258"/>
      <c r="N2" s="259"/>
    </row>
    <row r="3" spans="1:21" ht="13.5" customHeight="1" x14ac:dyDescent="0.2">
      <c r="A3" s="305" t="s">
        <v>36</v>
      </c>
      <c r="B3" s="305"/>
      <c r="C3" s="307"/>
      <c r="D3" s="307"/>
      <c r="E3" s="307"/>
      <c r="F3" s="11"/>
      <c r="G3" s="11"/>
      <c r="H3" s="11"/>
      <c r="I3" s="11"/>
      <c r="J3" s="305" t="s">
        <v>36</v>
      </c>
      <c r="K3" s="305"/>
      <c r="L3" s="290"/>
      <c r="M3" s="290"/>
      <c r="N3" s="290"/>
    </row>
    <row r="4" spans="1:21" ht="13.5" customHeight="1" x14ac:dyDescent="0.2">
      <c r="A4" s="305" t="s">
        <v>37</v>
      </c>
      <c r="B4" s="305"/>
      <c r="C4" s="290"/>
      <c r="D4" s="290"/>
      <c r="E4" s="290"/>
      <c r="F4" s="11"/>
      <c r="G4" s="11"/>
      <c r="H4" s="11"/>
      <c r="I4" s="11"/>
      <c r="J4" s="305" t="s">
        <v>37</v>
      </c>
      <c r="K4" s="305"/>
      <c r="L4" s="290"/>
      <c r="M4" s="290"/>
      <c r="N4" s="290"/>
    </row>
    <row r="5" spans="1:21" ht="13.5" customHeight="1" x14ac:dyDescent="0.2">
      <c r="A5" s="305" t="s">
        <v>7</v>
      </c>
      <c r="B5" s="305"/>
      <c r="C5" s="290"/>
      <c r="D5" s="290"/>
      <c r="E5" s="290"/>
      <c r="F5" s="11"/>
      <c r="G5" s="11"/>
      <c r="H5" s="11"/>
      <c r="I5" s="11"/>
      <c r="J5" s="305" t="s">
        <v>38</v>
      </c>
      <c r="K5" s="305"/>
      <c r="L5" s="290"/>
      <c r="M5" s="290"/>
      <c r="N5" s="290"/>
    </row>
    <row r="6" spans="1:21" ht="13.5" customHeight="1" x14ac:dyDescent="0.2">
      <c r="A6" s="305" t="s">
        <v>38</v>
      </c>
      <c r="B6" s="305"/>
      <c r="C6" s="290"/>
      <c r="D6" s="290"/>
      <c r="E6" s="290"/>
      <c r="F6" s="11"/>
      <c r="G6" s="11"/>
      <c r="H6" s="11"/>
      <c r="I6" s="11"/>
      <c r="J6" s="291" t="s">
        <v>48</v>
      </c>
      <c r="K6" s="292"/>
      <c r="L6" s="290"/>
      <c r="M6" s="290"/>
      <c r="N6" s="290"/>
    </row>
    <row r="7" spans="1:21" ht="13.5" customHeight="1" x14ac:dyDescent="0.2">
      <c r="A7" s="305" t="s">
        <v>40</v>
      </c>
      <c r="B7" s="305"/>
      <c r="C7" s="290"/>
      <c r="D7" s="290"/>
      <c r="E7" s="290"/>
      <c r="F7" s="11"/>
      <c r="G7" s="11"/>
      <c r="H7" s="11"/>
      <c r="I7" s="11"/>
      <c r="J7" s="305" t="s">
        <v>40</v>
      </c>
      <c r="K7" s="305"/>
      <c r="L7" s="290"/>
      <c r="M7" s="290"/>
      <c r="N7" s="290"/>
    </row>
    <row r="8" spans="1:21" ht="13.5" customHeight="1" x14ac:dyDescent="0.2">
      <c r="A8" s="304" t="s">
        <v>21</v>
      </c>
      <c r="B8" s="304"/>
      <c r="C8" s="290"/>
      <c r="D8" s="290"/>
      <c r="E8" s="290"/>
      <c r="F8" s="11"/>
      <c r="G8" s="11"/>
      <c r="H8" s="11"/>
      <c r="I8" s="11"/>
      <c r="J8" s="304" t="s">
        <v>21</v>
      </c>
      <c r="K8" s="304"/>
      <c r="L8" s="290"/>
      <c r="M8" s="290"/>
      <c r="N8" s="290"/>
    </row>
    <row r="9" spans="1:21" ht="13.5" customHeight="1" x14ac:dyDescent="0.2">
      <c r="A9" s="304" t="s">
        <v>41</v>
      </c>
      <c r="B9" s="304"/>
      <c r="C9" s="290"/>
      <c r="D9" s="290"/>
      <c r="E9" s="290"/>
      <c r="F9" s="11"/>
      <c r="G9" s="11"/>
      <c r="H9" s="11"/>
      <c r="I9" s="11"/>
      <c r="J9" s="304" t="s">
        <v>41</v>
      </c>
      <c r="K9" s="304"/>
      <c r="L9" s="290"/>
      <c r="M9" s="290"/>
      <c r="N9" s="290"/>
    </row>
    <row r="10" spans="1:21" ht="13.5" customHeight="1" x14ac:dyDescent="0.2">
      <c r="A10" s="304" t="s">
        <v>928</v>
      </c>
      <c r="B10" s="304"/>
      <c r="C10" s="290"/>
      <c r="D10" s="290"/>
      <c r="E10" s="290"/>
      <c r="F10" s="11"/>
      <c r="G10" s="11"/>
      <c r="H10" s="11"/>
      <c r="I10" s="11"/>
      <c r="J10" s="289" t="s">
        <v>49</v>
      </c>
      <c r="K10" s="289"/>
      <c r="L10" s="290"/>
      <c r="M10" s="290"/>
      <c r="N10" s="290"/>
    </row>
    <row r="11" spans="1:21" ht="13.5" customHeight="1" x14ac:dyDescent="0.2">
      <c r="J11" s="289" t="s">
        <v>928</v>
      </c>
      <c r="K11" s="289"/>
      <c r="L11" s="290"/>
      <c r="M11" s="290"/>
      <c r="N11" s="290"/>
    </row>
    <row r="12" spans="1:21" ht="13.5" customHeight="1" x14ac:dyDescent="0.2"/>
    <row r="13" spans="1:21" ht="13.5" customHeight="1" x14ac:dyDescent="0.2">
      <c r="A13" s="291" t="s">
        <v>23</v>
      </c>
      <c r="B13" s="308"/>
      <c r="C13" s="308"/>
      <c r="D13" s="308"/>
      <c r="E13" s="308"/>
      <c r="F13" s="289" t="s">
        <v>24</v>
      </c>
      <c r="G13" s="289"/>
      <c r="H13" s="36" t="s">
        <v>42</v>
      </c>
      <c r="I13" s="11"/>
      <c r="J13" s="306" t="s">
        <v>50</v>
      </c>
      <c r="K13" s="306"/>
      <c r="L13" s="306"/>
      <c r="M13" s="306"/>
      <c r="N13" s="306"/>
      <c r="O13" s="306"/>
      <c r="P13" s="306"/>
      <c r="Q13" s="306"/>
      <c r="R13" s="306"/>
      <c r="S13" s="12" t="s">
        <v>24</v>
      </c>
      <c r="T13" s="37" t="s">
        <v>42</v>
      </c>
      <c r="U13" s="38"/>
    </row>
    <row r="14" spans="1:21" ht="45" customHeight="1" x14ac:dyDescent="0.2">
      <c r="A14" s="15" t="s">
        <v>38</v>
      </c>
      <c r="B14" s="15" t="s">
        <v>37</v>
      </c>
      <c r="C14" s="15" t="s">
        <v>43</v>
      </c>
      <c r="D14" s="15" t="s">
        <v>44</v>
      </c>
      <c r="E14" s="16" t="s">
        <v>25</v>
      </c>
      <c r="F14" s="15" t="s">
        <v>25</v>
      </c>
      <c r="G14" s="15" t="s">
        <v>45</v>
      </c>
      <c r="H14" s="17" t="s">
        <v>46</v>
      </c>
      <c r="I14" s="11"/>
      <c r="J14" s="15" t="s">
        <v>51</v>
      </c>
      <c r="K14" s="15" t="s">
        <v>37</v>
      </c>
      <c r="L14" s="18" t="s">
        <v>52</v>
      </c>
      <c r="M14" s="15" t="s">
        <v>53</v>
      </c>
      <c r="N14" s="15" t="s">
        <v>54</v>
      </c>
      <c r="O14" s="15" t="s">
        <v>25</v>
      </c>
      <c r="P14" s="15" t="s">
        <v>26</v>
      </c>
      <c r="Q14" s="16" t="s">
        <v>27</v>
      </c>
      <c r="R14" s="19" t="s">
        <v>55</v>
      </c>
      <c r="S14" s="20" t="s">
        <v>58</v>
      </c>
      <c r="T14" s="21" t="s">
        <v>59</v>
      </c>
      <c r="U14" s="20" t="s">
        <v>60</v>
      </c>
    </row>
    <row r="15" spans="1:21" ht="13.5" customHeight="1" x14ac:dyDescent="0.2">
      <c r="A15" s="22" t="s">
        <v>47</v>
      </c>
      <c r="B15" s="22"/>
      <c r="C15" s="22"/>
      <c r="D15" s="22"/>
      <c r="E15" s="23">
        <v>40</v>
      </c>
      <c r="F15" s="215">
        <f>'Rådata-gjennomlysning'!A1</f>
        <v>0</v>
      </c>
      <c r="G15" s="216">
        <f>'Rådata-gjennomlysning'!Q1</f>
        <v>0</v>
      </c>
      <c r="H15" s="234">
        <f t="shared" ref="H15:H32" si="0">IF(F15&gt;$AJ$19,ABS(F15-E15)/F15,)</f>
        <v>0</v>
      </c>
      <c r="I15" s="11"/>
      <c r="J15" s="24"/>
      <c r="K15" s="25"/>
      <c r="L15" s="26"/>
      <c r="M15" s="24"/>
      <c r="N15" s="24"/>
      <c r="O15" s="27"/>
      <c r="P15" s="27"/>
      <c r="Q15" s="28"/>
      <c r="R15" s="29"/>
      <c r="S15" s="30">
        <f>'Rådata-gjennomlysning'!E19*1000</f>
        <v>0</v>
      </c>
      <c r="T15" s="31" t="str">
        <f t="shared" ref="T15:T22" si="1">IF(S15=0,"",S15*$L$8^2/$L$9^2/$L$7)</f>
        <v/>
      </c>
      <c r="U15" s="32" t="e">
        <f t="shared" ref="U15:U27" si="2">IF(R15="JA","",T15/T42)</f>
        <v>#VALUE!</v>
      </c>
    </row>
    <row r="16" spans="1:21" ht="13.5" customHeight="1" x14ac:dyDescent="0.2">
      <c r="A16" s="24"/>
      <c r="B16" s="24"/>
      <c r="C16" s="24"/>
      <c r="D16" s="24"/>
      <c r="E16" s="33">
        <v>55.7</v>
      </c>
      <c r="F16" s="215">
        <f>'Rådata-gjennomlysning'!A2</f>
        <v>0</v>
      </c>
      <c r="G16" s="216">
        <f>'Rådata-gjennomlysning'!Q2</f>
        <v>0</v>
      </c>
      <c r="H16" s="234">
        <f t="shared" si="0"/>
        <v>0</v>
      </c>
      <c r="I16" s="11"/>
      <c r="J16" s="24"/>
      <c r="K16" s="24"/>
      <c r="L16" s="26"/>
      <c r="M16" s="24"/>
      <c r="N16" s="24"/>
      <c r="O16" s="27"/>
      <c r="P16" s="27"/>
      <c r="Q16" s="28"/>
      <c r="R16" s="29"/>
      <c r="S16" s="30">
        <f>'Rådata-gjennomlysning'!E20*1000</f>
        <v>0</v>
      </c>
      <c r="T16" s="31" t="str">
        <f t="shared" si="1"/>
        <v/>
      </c>
      <c r="U16" s="32" t="e">
        <f t="shared" si="2"/>
        <v>#VALUE!</v>
      </c>
    </row>
    <row r="17" spans="1:21" ht="13.5" customHeight="1" x14ac:dyDescent="0.2">
      <c r="A17" s="24"/>
      <c r="B17" s="24"/>
      <c r="C17" s="24"/>
      <c r="D17" s="24"/>
      <c r="E17" s="33">
        <v>60</v>
      </c>
      <c r="F17" s="215">
        <f>'Rådata-gjennomlysning'!A3</f>
        <v>0</v>
      </c>
      <c r="G17" s="216">
        <f>'Rådata-gjennomlysning'!Q3</f>
        <v>0</v>
      </c>
      <c r="H17" s="234">
        <f t="shared" si="0"/>
        <v>0</v>
      </c>
      <c r="I17" s="11"/>
      <c r="J17" s="24"/>
      <c r="K17" s="25"/>
      <c r="L17" s="26"/>
      <c r="M17" s="24"/>
      <c r="N17" s="24"/>
      <c r="O17" s="27"/>
      <c r="P17" s="27"/>
      <c r="Q17" s="28"/>
      <c r="R17" s="29"/>
      <c r="S17" s="30">
        <f>'Rådata-gjennomlysning'!E21*1000</f>
        <v>0</v>
      </c>
      <c r="T17" s="31" t="str">
        <f t="shared" si="1"/>
        <v/>
      </c>
      <c r="U17" s="32" t="e">
        <f t="shared" si="2"/>
        <v>#VALUE!</v>
      </c>
    </row>
    <row r="18" spans="1:21" ht="13.5" customHeight="1" thickBot="1" x14ac:dyDescent="0.25">
      <c r="A18" s="24"/>
      <c r="B18" s="24"/>
      <c r="C18" s="24"/>
      <c r="D18" s="24"/>
      <c r="E18" s="34">
        <v>70</v>
      </c>
      <c r="F18" s="215">
        <f>'Rådata-gjennomlysning'!A4</f>
        <v>0</v>
      </c>
      <c r="G18" s="216">
        <f>'Rådata-gjennomlysning'!Q4</f>
        <v>0</v>
      </c>
      <c r="H18" s="234">
        <f t="shared" si="0"/>
        <v>0</v>
      </c>
      <c r="I18" s="11"/>
      <c r="J18" s="24"/>
      <c r="K18" s="25"/>
      <c r="L18" s="26"/>
      <c r="M18" s="24"/>
      <c r="N18" s="24"/>
      <c r="O18" s="27"/>
      <c r="P18" s="27"/>
      <c r="Q18" s="28"/>
      <c r="R18" s="29"/>
      <c r="S18" s="30">
        <f>'Rådata-gjennomlysning'!E22*1000</f>
        <v>0</v>
      </c>
      <c r="T18" s="31" t="str">
        <f t="shared" si="1"/>
        <v/>
      </c>
      <c r="U18" s="32" t="e">
        <f t="shared" si="2"/>
        <v>#VALUE!</v>
      </c>
    </row>
    <row r="19" spans="1:21" ht="13.5" customHeight="1" thickTop="1" x14ac:dyDescent="0.2">
      <c r="A19" s="24"/>
      <c r="B19" s="24"/>
      <c r="C19" s="24"/>
      <c r="D19" s="35"/>
      <c r="E19" s="56">
        <v>80</v>
      </c>
      <c r="F19" s="217">
        <f>'Rådata-gjennomlysning'!A5</f>
        <v>0</v>
      </c>
      <c r="G19" s="216">
        <f>'Rådata-gjennomlysning'!Q5</f>
        <v>0</v>
      </c>
      <c r="H19" s="234">
        <f t="shared" si="0"/>
        <v>0</v>
      </c>
      <c r="I19" s="11"/>
      <c r="J19" s="24"/>
      <c r="K19" s="25"/>
      <c r="L19" s="26"/>
      <c r="M19" s="24"/>
      <c r="N19" s="24"/>
      <c r="O19" s="27"/>
      <c r="P19" s="27"/>
      <c r="Q19" s="28"/>
      <c r="R19" s="29"/>
      <c r="S19" s="30">
        <f>'Rådata-gjennomlysning'!E23*1000</f>
        <v>0</v>
      </c>
      <c r="T19" s="31" t="str">
        <f t="shared" si="1"/>
        <v/>
      </c>
      <c r="U19" s="32" t="e">
        <f t="shared" si="2"/>
        <v>#VALUE!</v>
      </c>
    </row>
    <row r="20" spans="1:21" ht="13.5" customHeight="1" x14ac:dyDescent="0.2">
      <c r="A20" s="24"/>
      <c r="B20" s="24"/>
      <c r="C20" s="24"/>
      <c r="D20" s="35"/>
      <c r="E20" s="218">
        <f>$E$19</f>
        <v>80</v>
      </c>
      <c r="F20" s="217">
        <f>'Rådata-gjennomlysning'!A6</f>
        <v>0</v>
      </c>
      <c r="G20" s="216">
        <f>'Rådata-gjennomlysning'!Q6</f>
        <v>0</v>
      </c>
      <c r="H20" s="234">
        <f t="shared" si="0"/>
        <v>0</v>
      </c>
      <c r="I20" s="11"/>
      <c r="J20" s="24"/>
      <c r="K20" s="25"/>
      <c r="L20" s="26"/>
      <c r="M20" s="24"/>
      <c r="N20" s="24"/>
      <c r="O20" s="27"/>
      <c r="P20" s="27"/>
      <c r="Q20" s="28"/>
      <c r="R20" s="29"/>
      <c r="S20" s="30">
        <f>'Rådata-gjennomlysning'!E24*1000</f>
        <v>0</v>
      </c>
      <c r="T20" s="31" t="str">
        <f t="shared" si="1"/>
        <v/>
      </c>
      <c r="U20" s="32" t="e">
        <f t="shared" si="2"/>
        <v>#VALUE!</v>
      </c>
    </row>
    <row r="21" spans="1:21" ht="13.5" customHeight="1" x14ac:dyDescent="0.2">
      <c r="A21" s="24"/>
      <c r="B21" s="24"/>
      <c r="C21" s="24"/>
      <c r="D21" s="35"/>
      <c r="E21" s="218">
        <f>$E$19</f>
        <v>80</v>
      </c>
      <c r="F21" s="217">
        <f>'Rådata-gjennomlysning'!A7</f>
        <v>0</v>
      </c>
      <c r="G21" s="216">
        <f>'Rådata-gjennomlysning'!Q7</f>
        <v>0</v>
      </c>
      <c r="H21" s="234">
        <f t="shared" si="0"/>
        <v>0</v>
      </c>
      <c r="I21" s="11"/>
      <c r="J21" s="24"/>
      <c r="K21" s="25"/>
      <c r="L21" s="26"/>
      <c r="M21" s="24"/>
      <c r="N21" s="24"/>
      <c r="O21" s="27"/>
      <c r="P21" s="27"/>
      <c r="Q21" s="28"/>
      <c r="R21" s="29"/>
      <c r="S21" s="30">
        <f>'Rådata-gjennomlysning'!E25*1000</f>
        <v>0</v>
      </c>
      <c r="T21" s="31" t="str">
        <f t="shared" si="1"/>
        <v/>
      </c>
      <c r="U21" s="32" t="e">
        <f t="shared" si="2"/>
        <v>#VALUE!</v>
      </c>
    </row>
    <row r="22" spans="1:21" ht="13.5" customHeight="1" x14ac:dyDescent="0.2">
      <c r="A22" s="24"/>
      <c r="B22" s="24"/>
      <c r="C22" s="24"/>
      <c r="D22" s="35"/>
      <c r="E22" s="218">
        <f>$E$19</f>
        <v>80</v>
      </c>
      <c r="F22" s="217">
        <f>'Rådata-gjennomlysning'!A8</f>
        <v>0</v>
      </c>
      <c r="G22" s="216">
        <f>'Rådata-gjennomlysning'!Q8</f>
        <v>0</v>
      </c>
      <c r="H22" s="234">
        <f t="shared" si="0"/>
        <v>0</v>
      </c>
      <c r="I22" s="11"/>
      <c r="J22" s="24"/>
      <c r="K22" s="25"/>
      <c r="L22" s="26"/>
      <c r="M22" s="24"/>
      <c r="N22" s="24"/>
      <c r="O22" s="27"/>
      <c r="P22" s="27"/>
      <c r="Q22" s="28"/>
      <c r="R22" s="29"/>
      <c r="S22" s="30">
        <f>'Rådata-gjennomlysning'!E26*1000</f>
        <v>0</v>
      </c>
      <c r="T22" s="31" t="str">
        <f t="shared" si="1"/>
        <v/>
      </c>
      <c r="U22" s="32" t="e">
        <f t="shared" si="2"/>
        <v>#VALUE!</v>
      </c>
    </row>
    <row r="23" spans="1:21" ht="13.5" customHeight="1" thickBot="1" x14ac:dyDescent="0.25">
      <c r="A23" s="24"/>
      <c r="B23" s="24"/>
      <c r="C23" s="24"/>
      <c r="D23" s="35"/>
      <c r="E23" s="219">
        <f>$E$19</f>
        <v>80</v>
      </c>
      <c r="F23" s="217">
        <f>'Rådata-gjennomlysning'!A9</f>
        <v>0</v>
      </c>
      <c r="G23" s="216">
        <f>'Rådata-gjennomlysning'!Q9</f>
        <v>0</v>
      </c>
      <c r="H23" s="234">
        <f t="shared" si="0"/>
        <v>0</v>
      </c>
      <c r="I23" s="11"/>
      <c r="J23" s="24"/>
      <c r="K23" s="24"/>
      <c r="L23" s="26"/>
      <c r="M23" s="24"/>
      <c r="N23" s="24"/>
      <c r="O23" s="27"/>
      <c r="P23" s="27"/>
      <c r="Q23" s="28"/>
      <c r="R23" s="29"/>
      <c r="S23" s="30">
        <f>'Rådata-gjennomlysning'!E27*1000</f>
        <v>0</v>
      </c>
      <c r="T23" s="31" t="str">
        <f>IF(S23=0,"",S23*$L$8^2/$L$9^2/$L$7)</f>
        <v/>
      </c>
      <c r="U23" s="32" t="e">
        <f t="shared" si="2"/>
        <v>#VALUE!</v>
      </c>
    </row>
    <row r="24" spans="1:21" ht="13.5" customHeight="1" thickTop="1" x14ac:dyDescent="0.2">
      <c r="A24" s="24"/>
      <c r="B24" s="24"/>
      <c r="C24" s="24"/>
      <c r="D24" s="24"/>
      <c r="E24" s="23">
        <v>90</v>
      </c>
      <c r="F24" s="215">
        <f>'Rådata-gjennomlysning'!A10</f>
        <v>0</v>
      </c>
      <c r="G24" s="216">
        <f>'Rådata-gjennomlysning'!Q10</f>
        <v>0</v>
      </c>
      <c r="H24" s="234">
        <f t="shared" si="0"/>
        <v>0</v>
      </c>
      <c r="I24" s="11"/>
      <c r="J24" s="24"/>
      <c r="K24" s="24"/>
      <c r="L24" s="26"/>
      <c r="M24" s="24"/>
      <c r="N24" s="24"/>
      <c r="O24" s="27"/>
      <c r="P24" s="27"/>
      <c r="Q24" s="28"/>
      <c r="R24" s="29"/>
      <c r="S24" s="30">
        <f>'Rådata-gjennomlysning'!E28*1000</f>
        <v>0</v>
      </c>
      <c r="T24" s="31" t="str">
        <f>IF(S24=0,"",S24*$L$8^2/$L$9^2/$L$7)</f>
        <v/>
      </c>
      <c r="U24" s="32" t="e">
        <f t="shared" si="2"/>
        <v>#VALUE!</v>
      </c>
    </row>
    <row r="25" spans="1:21" ht="13.5" customHeight="1" x14ac:dyDescent="0.2">
      <c r="A25" s="24"/>
      <c r="B25" s="24"/>
      <c r="C25" s="24"/>
      <c r="D25" s="24"/>
      <c r="E25" s="33">
        <v>109</v>
      </c>
      <c r="F25" s="215">
        <f>'Rådata-gjennomlysning'!A11</f>
        <v>0</v>
      </c>
      <c r="G25" s="216">
        <f>'Rådata-gjennomlysning'!Q11</f>
        <v>0</v>
      </c>
      <c r="H25" s="234">
        <f t="shared" si="0"/>
        <v>0</v>
      </c>
      <c r="I25" s="11"/>
      <c r="J25" s="24"/>
      <c r="K25" s="24"/>
      <c r="L25" s="26"/>
      <c r="M25" s="24"/>
      <c r="N25" s="24"/>
      <c r="O25" s="27"/>
      <c r="P25" s="27"/>
      <c r="Q25" s="28"/>
      <c r="R25" s="29"/>
      <c r="S25" s="30">
        <f>'Rådata-gjennomlysning'!E29*1000</f>
        <v>0</v>
      </c>
      <c r="T25" s="31" t="str">
        <f>IF(S25=0,"",S25*$L$8^2/$L$9^2/$L$7)</f>
        <v/>
      </c>
      <c r="U25" s="32" t="e">
        <f t="shared" si="2"/>
        <v>#VALUE!</v>
      </c>
    </row>
    <row r="26" spans="1:21" ht="13.5" customHeight="1" x14ac:dyDescent="0.2">
      <c r="A26" s="24"/>
      <c r="B26" s="24"/>
      <c r="C26" s="24"/>
      <c r="D26" s="24"/>
      <c r="E26" s="33">
        <v>117</v>
      </c>
      <c r="F26" s="215">
        <f>'Rådata-gjennomlysning'!A12</f>
        <v>0</v>
      </c>
      <c r="G26" s="216">
        <f>'Rådata-gjennomlysning'!Q12</f>
        <v>0</v>
      </c>
      <c r="H26" s="234">
        <f t="shared" si="0"/>
        <v>0</v>
      </c>
      <c r="I26" s="11"/>
      <c r="J26" s="24"/>
      <c r="K26" s="24"/>
      <c r="L26" s="26"/>
      <c r="M26" s="24"/>
      <c r="N26" s="24"/>
      <c r="O26" s="27"/>
      <c r="P26" s="27"/>
      <c r="Q26" s="28"/>
      <c r="R26" s="29"/>
      <c r="S26" s="30">
        <f>'Rådata-gjennomlysning'!E30*1000</f>
        <v>0</v>
      </c>
      <c r="T26" s="31" t="str">
        <f>IF(S26=0,"",S26*$L$8^2/$L$9^2/$L$7)</f>
        <v/>
      </c>
      <c r="U26" s="32" t="e">
        <f t="shared" si="2"/>
        <v>#VALUE!</v>
      </c>
    </row>
    <row r="27" spans="1:21" ht="13.5" customHeight="1" x14ac:dyDescent="0.2">
      <c r="A27" s="24"/>
      <c r="B27" s="24"/>
      <c r="C27" s="24"/>
      <c r="D27" s="24"/>
      <c r="E27" s="33">
        <v>125</v>
      </c>
      <c r="F27" s="215">
        <f>'Rådata-gjennomlysning'!A13</f>
        <v>0</v>
      </c>
      <c r="G27" s="216">
        <f>'Rådata-gjennomlysning'!Q13</f>
        <v>0</v>
      </c>
      <c r="H27" s="234">
        <f t="shared" si="0"/>
        <v>0</v>
      </c>
      <c r="I27" s="11"/>
      <c r="J27" s="24"/>
      <c r="K27" s="24"/>
      <c r="L27" s="26"/>
      <c r="M27" s="24"/>
      <c r="N27" s="24"/>
      <c r="O27" s="27"/>
      <c r="P27" s="27"/>
      <c r="Q27" s="28"/>
      <c r="R27" s="29"/>
      <c r="S27" s="30">
        <f>'Rådata-gjennomlysning'!E31*1000</f>
        <v>0</v>
      </c>
      <c r="T27" s="31" t="str">
        <f>IF(S27=0,"",S27*$L$8^2/$L$9^2/$L$7)</f>
        <v/>
      </c>
      <c r="U27" s="32" t="e">
        <f t="shared" si="2"/>
        <v>#VALUE!</v>
      </c>
    </row>
    <row r="28" spans="1:21" ht="13.5" customHeight="1" x14ac:dyDescent="0.2">
      <c r="A28" s="22" t="s">
        <v>39</v>
      </c>
      <c r="B28" s="22"/>
      <c r="C28" s="22"/>
      <c r="D28" s="22"/>
      <c r="E28" s="23">
        <v>60</v>
      </c>
      <c r="F28" s="215">
        <f>'Rådata-gjennomlysning'!A14</f>
        <v>0</v>
      </c>
      <c r="G28" s="216">
        <f>'Rådata-gjennomlysning'!Q14</f>
        <v>0</v>
      </c>
      <c r="H28" s="234">
        <f t="shared" si="0"/>
        <v>0</v>
      </c>
      <c r="I28" s="11"/>
    </row>
    <row r="29" spans="1:21" ht="13.5" customHeight="1" x14ac:dyDescent="0.2">
      <c r="A29" s="24"/>
      <c r="B29" s="24"/>
      <c r="C29" s="24"/>
      <c r="D29" s="24"/>
      <c r="E29" s="33">
        <v>70</v>
      </c>
      <c r="F29" s="215">
        <f>'Rådata-gjennomlysning'!A15</f>
        <v>0</v>
      </c>
      <c r="G29" s="216">
        <f>'Rådata-gjennomlysning'!Q15</f>
        <v>0</v>
      </c>
      <c r="H29" s="234">
        <f t="shared" si="0"/>
        <v>0</v>
      </c>
      <c r="I29" s="11"/>
    </row>
    <row r="30" spans="1:21" ht="13.5" customHeight="1" x14ac:dyDescent="0.2">
      <c r="A30" s="24"/>
      <c r="B30" s="24"/>
      <c r="C30" s="24"/>
      <c r="D30" s="24"/>
      <c r="E30" s="33">
        <v>80</v>
      </c>
      <c r="F30" s="215">
        <f>'Rådata-gjennomlysning'!A16</f>
        <v>0</v>
      </c>
      <c r="G30" s="216">
        <f>'Rådata-gjennomlysning'!Q16</f>
        <v>0</v>
      </c>
      <c r="H30" s="234">
        <f t="shared" si="0"/>
        <v>0</v>
      </c>
      <c r="I30" s="11"/>
      <c r="J30" s="257" t="s">
        <v>63</v>
      </c>
      <c r="K30" s="258"/>
      <c r="L30" s="257" t="s">
        <v>64</v>
      </c>
      <c r="M30" s="258"/>
      <c r="N30" s="259"/>
      <c r="O30" s="1"/>
      <c r="P30" s="1"/>
      <c r="Q30" s="1"/>
      <c r="R30" s="1"/>
      <c r="S30" s="1"/>
      <c r="T30" s="1"/>
      <c r="U30" s="1"/>
    </row>
    <row r="31" spans="1:21" ht="13.5" customHeight="1" x14ac:dyDescent="0.2">
      <c r="A31" s="24"/>
      <c r="B31" s="24"/>
      <c r="C31" s="24"/>
      <c r="D31" s="24"/>
      <c r="E31" s="33">
        <v>90</v>
      </c>
      <c r="F31" s="215">
        <f>'Rådata-gjennomlysning'!A17</f>
        <v>0</v>
      </c>
      <c r="G31" s="216">
        <f>'Rådata-gjennomlysning'!Q17</f>
        <v>0</v>
      </c>
      <c r="H31" s="234">
        <f t="shared" si="0"/>
        <v>0</v>
      </c>
      <c r="I31" s="11"/>
      <c r="J31" s="305" t="s">
        <v>37</v>
      </c>
      <c r="K31" s="305"/>
      <c r="L31" s="290"/>
      <c r="M31" s="290"/>
      <c r="N31" s="290"/>
      <c r="O31" s="40"/>
      <c r="P31" s="40"/>
      <c r="Q31" s="40"/>
      <c r="R31" s="40"/>
      <c r="S31" s="40"/>
      <c r="T31" s="40"/>
      <c r="U31" s="40"/>
    </row>
    <row r="32" spans="1:21" ht="13.5" customHeight="1" x14ac:dyDescent="0.2">
      <c r="A32" s="24"/>
      <c r="B32" s="24"/>
      <c r="C32" s="24"/>
      <c r="D32" s="24"/>
      <c r="E32" s="33">
        <v>102</v>
      </c>
      <c r="F32" s="215">
        <f>'Rådata-gjennomlysning'!A18</f>
        <v>0</v>
      </c>
      <c r="G32" s="216">
        <f>'Rådata-gjennomlysning'!Q18</f>
        <v>0</v>
      </c>
      <c r="H32" s="234">
        <f t="shared" si="0"/>
        <v>0</v>
      </c>
      <c r="I32" s="11"/>
      <c r="J32" s="299" t="s">
        <v>38</v>
      </c>
      <c r="K32" s="300"/>
      <c r="L32" s="296"/>
      <c r="M32" s="297"/>
      <c r="N32" s="298"/>
      <c r="O32" s="41"/>
      <c r="P32" s="40"/>
      <c r="Q32" s="40"/>
      <c r="R32" s="40"/>
      <c r="S32" s="40"/>
      <c r="T32" s="40"/>
      <c r="U32" s="40"/>
    </row>
    <row r="33" spans="1:21" ht="13.5" customHeight="1" x14ac:dyDescent="0.2">
      <c r="A33" s="11"/>
      <c r="B33" s="11"/>
      <c r="C33" s="11"/>
      <c r="D33" s="11"/>
      <c r="E33" s="11"/>
      <c r="F33" s="11"/>
      <c r="G33" s="11"/>
      <c r="H33" s="11"/>
      <c r="I33" s="11"/>
      <c r="J33" s="291" t="s">
        <v>48</v>
      </c>
      <c r="K33" s="292"/>
      <c r="L33" s="301"/>
      <c r="M33" s="302"/>
      <c r="N33" s="303"/>
      <c r="O33" s="42"/>
      <c r="P33" s="40"/>
      <c r="Q33" s="40"/>
      <c r="R33" s="40"/>
      <c r="S33" s="40"/>
      <c r="T33" s="40"/>
      <c r="U33" s="40"/>
    </row>
    <row r="34" spans="1:21" ht="13.5" customHeight="1" x14ac:dyDescent="0.2">
      <c r="E34" s="11" t="s">
        <v>66</v>
      </c>
      <c r="I34" s="11"/>
      <c r="J34" s="257" t="s">
        <v>21</v>
      </c>
      <c r="K34" s="259"/>
      <c r="L34" s="296"/>
      <c r="M34" s="297"/>
      <c r="N34" s="298"/>
      <c r="O34" s="41"/>
      <c r="P34" s="40"/>
      <c r="Q34" s="40"/>
      <c r="R34" s="40"/>
      <c r="S34" s="40"/>
      <c r="T34" s="40"/>
      <c r="U34" s="40"/>
    </row>
    <row r="35" spans="1:21" ht="13.5" customHeight="1" x14ac:dyDescent="0.2">
      <c r="I35" s="11"/>
      <c r="J35" s="257" t="s">
        <v>61</v>
      </c>
      <c r="K35" s="259"/>
      <c r="L35" s="296"/>
      <c r="M35" s="297"/>
      <c r="N35" s="298"/>
      <c r="O35" s="41"/>
      <c r="P35" s="40"/>
      <c r="Q35" s="40"/>
      <c r="R35" s="40"/>
      <c r="S35" s="40"/>
      <c r="T35" s="40"/>
      <c r="U35" s="40"/>
    </row>
    <row r="36" spans="1:21" ht="13.5" customHeight="1" x14ac:dyDescent="0.2">
      <c r="I36" s="11"/>
      <c r="J36" s="257" t="s">
        <v>41</v>
      </c>
      <c r="K36" s="259"/>
      <c r="L36" s="296"/>
      <c r="M36" s="297"/>
      <c r="N36" s="298"/>
      <c r="O36" s="41"/>
      <c r="P36" s="40"/>
      <c r="Q36" s="40"/>
      <c r="R36" s="40"/>
      <c r="S36" s="40"/>
      <c r="T36" s="40"/>
      <c r="U36" s="40"/>
    </row>
    <row r="37" spans="1:21" ht="13.5" customHeight="1" x14ac:dyDescent="0.2">
      <c r="I37" s="11"/>
      <c r="J37" s="291" t="s">
        <v>49</v>
      </c>
      <c r="K37" s="292"/>
      <c r="L37" s="293"/>
      <c r="M37" s="294"/>
      <c r="N37" s="295"/>
      <c r="O37" s="40"/>
      <c r="P37" s="40"/>
      <c r="Q37" s="40"/>
      <c r="R37" s="40"/>
      <c r="S37" s="40"/>
      <c r="T37" s="40"/>
      <c r="U37" s="40"/>
    </row>
    <row r="38" spans="1:21" ht="13.5" customHeight="1" x14ac:dyDescent="0.2">
      <c r="I38" s="11"/>
      <c r="J38" s="291" t="s">
        <v>928</v>
      </c>
      <c r="K38" s="292"/>
      <c r="L38" s="293"/>
      <c r="M38" s="294"/>
      <c r="N38" s="295"/>
      <c r="O38" s="40"/>
      <c r="P38" s="40"/>
      <c r="Q38" s="40"/>
      <c r="R38" s="40"/>
      <c r="S38" s="40"/>
      <c r="T38" s="40"/>
      <c r="U38" s="40"/>
    </row>
    <row r="39" spans="1:21" ht="13.5" customHeight="1" x14ac:dyDescent="0.2">
      <c r="I39" s="11"/>
      <c r="J39" s="40"/>
      <c r="K39" s="40"/>
      <c r="L39" s="40"/>
      <c r="M39" s="103"/>
      <c r="N39" s="40"/>
      <c r="O39" s="40"/>
      <c r="P39" s="40"/>
      <c r="Q39" s="40"/>
      <c r="R39" s="40"/>
      <c r="S39" s="40"/>
      <c r="T39" s="40"/>
      <c r="U39" s="40"/>
    </row>
    <row r="40" spans="1:21" ht="13.5" customHeight="1" x14ac:dyDescent="0.2">
      <c r="J40" s="314" t="s">
        <v>50</v>
      </c>
      <c r="K40" s="315"/>
      <c r="L40" s="14"/>
      <c r="M40" s="14"/>
      <c r="N40" s="14"/>
      <c r="O40" s="14"/>
      <c r="P40" s="14"/>
      <c r="Q40" s="14"/>
      <c r="R40" s="14"/>
      <c r="S40" s="12" t="s">
        <v>24</v>
      </c>
      <c r="T40" s="12"/>
      <c r="U40" s="110" t="s">
        <v>42</v>
      </c>
    </row>
    <row r="41" spans="1:21" ht="41.25" customHeight="1" x14ac:dyDescent="0.2">
      <c r="J41" s="15" t="s">
        <v>51</v>
      </c>
      <c r="K41" s="15" t="s">
        <v>37</v>
      </c>
      <c r="L41" s="18" t="s">
        <v>52</v>
      </c>
      <c r="M41" s="15" t="s">
        <v>53</v>
      </c>
      <c r="N41" s="15" t="s">
        <v>54</v>
      </c>
      <c r="O41" s="15" t="s">
        <v>25</v>
      </c>
      <c r="P41" s="15" t="s">
        <v>26</v>
      </c>
      <c r="Q41" s="15" t="s">
        <v>27</v>
      </c>
      <c r="R41" s="19" t="s">
        <v>55</v>
      </c>
      <c r="S41" s="20" t="s">
        <v>58</v>
      </c>
      <c r="T41" s="15" t="s">
        <v>62</v>
      </c>
      <c r="U41" s="20" t="s">
        <v>59</v>
      </c>
    </row>
    <row r="42" spans="1:21" ht="13.5" customHeight="1" x14ac:dyDescent="0.2">
      <c r="J42" s="24"/>
      <c r="K42" s="25"/>
      <c r="L42" s="26"/>
      <c r="M42" s="24"/>
      <c r="N42" s="24"/>
      <c r="O42" s="27"/>
      <c r="P42" s="27"/>
      <c r="Q42" s="27"/>
      <c r="R42" s="29"/>
      <c r="S42" s="30">
        <f>'Rådata-gjennomlysning'!E32*1000</f>
        <v>0</v>
      </c>
      <c r="T42" s="30">
        <f>'Rådata-gjennomlysning'!M32</f>
        <v>0</v>
      </c>
      <c r="U42" s="39" t="e">
        <f t="shared" ref="U42:U48" si="3">S42*$L$34^2/$L$35^2</f>
        <v>#DIV/0!</v>
      </c>
    </row>
    <row r="43" spans="1:21" ht="13.5" customHeight="1" x14ac:dyDescent="0.2">
      <c r="J43" s="24"/>
      <c r="K43" s="25"/>
      <c r="L43" s="26"/>
      <c r="M43" s="24"/>
      <c r="N43" s="24"/>
      <c r="O43" s="27"/>
      <c r="P43" s="27"/>
      <c r="Q43" s="27"/>
      <c r="R43" s="29"/>
      <c r="S43" s="30">
        <f>'Rådata-gjennomlysning'!E33*1000</f>
        <v>0</v>
      </c>
      <c r="T43" s="30">
        <f>'Rådata-gjennomlysning'!M33</f>
        <v>0</v>
      </c>
      <c r="U43" s="39" t="e">
        <f t="shared" si="3"/>
        <v>#DIV/0!</v>
      </c>
    </row>
    <row r="44" spans="1:21" ht="13.5" customHeight="1" x14ac:dyDescent="0.2">
      <c r="J44" s="24"/>
      <c r="K44" s="25"/>
      <c r="L44" s="26"/>
      <c r="M44" s="24"/>
      <c r="N44" s="24"/>
      <c r="O44" s="27"/>
      <c r="P44" s="27"/>
      <c r="Q44" s="27"/>
      <c r="R44" s="29"/>
      <c r="S44" s="30">
        <f>'Rådata-gjennomlysning'!E34*1000</f>
        <v>0</v>
      </c>
      <c r="T44" s="30">
        <f>'Rådata-gjennomlysning'!M34</f>
        <v>0</v>
      </c>
      <c r="U44" s="39" t="e">
        <f t="shared" si="3"/>
        <v>#DIV/0!</v>
      </c>
    </row>
    <row r="45" spans="1:21" ht="13.5" customHeight="1" x14ac:dyDescent="0.2">
      <c r="J45" s="24"/>
      <c r="K45" s="25"/>
      <c r="L45" s="26"/>
      <c r="M45" s="24"/>
      <c r="N45" s="24"/>
      <c r="O45" s="27"/>
      <c r="P45" s="27"/>
      <c r="Q45" s="27"/>
      <c r="R45" s="29"/>
      <c r="S45" s="30">
        <f>'Rådata-gjennomlysning'!E35*1000</f>
        <v>0</v>
      </c>
      <c r="T45" s="30">
        <f>'Rådata-gjennomlysning'!M35</f>
        <v>0</v>
      </c>
      <c r="U45" s="39" t="e">
        <f t="shared" si="3"/>
        <v>#DIV/0!</v>
      </c>
    </row>
    <row r="46" spans="1:21" ht="13.5" customHeight="1" x14ac:dyDescent="0.2">
      <c r="J46" s="24"/>
      <c r="K46" s="25"/>
      <c r="L46" s="26"/>
      <c r="M46" s="24"/>
      <c r="N46" s="24"/>
      <c r="O46" s="27"/>
      <c r="P46" s="27"/>
      <c r="Q46" s="27"/>
      <c r="R46" s="29"/>
      <c r="S46" s="30">
        <f>'Rådata-gjennomlysning'!E36*1000</f>
        <v>0</v>
      </c>
      <c r="T46" s="30">
        <f>'Rådata-gjennomlysning'!M36</f>
        <v>0</v>
      </c>
      <c r="U46" s="39" t="e">
        <f t="shared" si="3"/>
        <v>#DIV/0!</v>
      </c>
    </row>
    <row r="47" spans="1:21" ht="13.5" customHeight="1" x14ac:dyDescent="0.2">
      <c r="J47" s="24"/>
      <c r="K47" s="25"/>
      <c r="L47" s="26"/>
      <c r="M47" s="24"/>
      <c r="N47" s="24"/>
      <c r="O47" s="27"/>
      <c r="P47" s="27"/>
      <c r="Q47" s="27"/>
      <c r="R47" s="29"/>
      <c r="S47" s="30">
        <f>'Rådata-gjennomlysning'!E37*1000</f>
        <v>0</v>
      </c>
      <c r="T47" s="30">
        <f>'Rådata-gjennomlysning'!M37</f>
        <v>0</v>
      </c>
      <c r="U47" s="39" t="e">
        <f t="shared" si="3"/>
        <v>#DIV/0!</v>
      </c>
    </row>
    <row r="48" spans="1:21" ht="13.5" customHeight="1" x14ac:dyDescent="0.2">
      <c r="J48" s="24"/>
      <c r="K48" s="25"/>
      <c r="L48" s="26"/>
      <c r="M48" s="24"/>
      <c r="N48" s="24"/>
      <c r="O48" s="27"/>
      <c r="P48" s="27"/>
      <c r="Q48" s="27"/>
      <c r="R48" s="29"/>
      <c r="S48" s="30">
        <f>'Rådata-gjennomlysning'!E38*1000</f>
        <v>0</v>
      </c>
      <c r="T48" s="30">
        <f>'Rådata-gjennomlysning'!M38</f>
        <v>0</v>
      </c>
      <c r="U48" s="39" t="e">
        <f t="shared" si="3"/>
        <v>#DIV/0!</v>
      </c>
    </row>
    <row r="49" spans="10:40" ht="13.5" customHeight="1" x14ac:dyDescent="0.2">
      <c r="J49" s="24"/>
      <c r="K49" s="25"/>
      <c r="L49" s="26"/>
      <c r="M49" s="24"/>
      <c r="N49" s="24"/>
      <c r="O49" s="27"/>
      <c r="P49" s="27"/>
      <c r="Q49" s="27"/>
      <c r="R49" s="29"/>
      <c r="S49" s="30">
        <f>'Rådata-gjennomlysning'!E39*1000</f>
        <v>0</v>
      </c>
      <c r="T49" s="30">
        <f>'Rådata-gjennomlysning'!M39</f>
        <v>0</v>
      </c>
      <c r="U49" s="39" t="e">
        <f>S49*$L$34^2/$L$35^2</f>
        <v>#DIV/0!</v>
      </c>
    </row>
    <row r="50" spans="10:40" ht="13.5" customHeight="1" x14ac:dyDescent="0.2">
      <c r="J50" s="24"/>
      <c r="K50" s="24"/>
      <c r="L50" s="26"/>
      <c r="M50" s="24"/>
      <c r="N50" s="24"/>
      <c r="O50" s="27"/>
      <c r="P50" s="27"/>
      <c r="Q50" s="27"/>
      <c r="R50" s="29"/>
      <c r="S50" s="30">
        <f>'Rådata-gjennomlysning'!E40*1000</f>
        <v>0</v>
      </c>
      <c r="T50" s="30">
        <f>'Rådata-gjennomlysning'!M40</f>
        <v>0</v>
      </c>
      <c r="U50" s="39" t="e">
        <f>S50*$L$34^2/$L$35^2</f>
        <v>#DIV/0!</v>
      </c>
    </row>
    <row r="51" spans="10:40" ht="13.5" customHeight="1" x14ac:dyDescent="0.2">
      <c r="J51" s="24"/>
      <c r="K51" s="24"/>
      <c r="L51" s="26"/>
      <c r="M51" s="24"/>
      <c r="N51" s="24"/>
      <c r="O51" s="27"/>
      <c r="P51" s="27"/>
      <c r="Q51" s="27"/>
      <c r="R51" s="29"/>
      <c r="S51" s="30">
        <f>'Rådata-gjennomlysning'!E41*1000</f>
        <v>0</v>
      </c>
      <c r="T51" s="30">
        <f>'Rådata-gjennomlysning'!M41</f>
        <v>0</v>
      </c>
      <c r="U51" s="39" t="e">
        <f>S51*$L$34^2/$L$35^2</f>
        <v>#DIV/0!</v>
      </c>
    </row>
    <row r="52" spans="10:40" ht="13.5" customHeight="1" x14ac:dyDescent="0.2"/>
    <row r="53" spans="10:40" ht="13.5" customHeight="1" x14ac:dyDescent="0.2"/>
    <row r="61" spans="10:40" x14ac:dyDescent="0.2">
      <c r="AN61" t="b">
        <v>0</v>
      </c>
    </row>
    <row r="62" spans="10:40" x14ac:dyDescent="0.2">
      <c r="AN62" t="b">
        <v>0</v>
      </c>
    </row>
    <row r="63" spans="10:40" x14ac:dyDescent="0.2">
      <c r="AN63" t="b">
        <v>0</v>
      </c>
    </row>
    <row r="71" spans="40:40" x14ac:dyDescent="0.2">
      <c r="AN71" t="b">
        <v>0</v>
      </c>
    </row>
    <row r="72" spans="40:40" x14ac:dyDescent="0.2">
      <c r="AN72" t="b">
        <v>0</v>
      </c>
    </row>
    <row r="73" spans="40:40" x14ac:dyDescent="0.2">
      <c r="AN73" t="b">
        <v>0</v>
      </c>
    </row>
    <row r="74" spans="40:40" x14ac:dyDescent="0.2">
      <c r="AN74" t="b">
        <v>0</v>
      </c>
    </row>
    <row r="75" spans="40:40" x14ac:dyDescent="0.2">
      <c r="AN75" t="b">
        <v>0</v>
      </c>
    </row>
    <row r="76" spans="40:40" x14ac:dyDescent="0.2">
      <c r="AN76" t="b">
        <v>0</v>
      </c>
    </row>
    <row r="77" spans="40:40" x14ac:dyDescent="0.2">
      <c r="AN77" t="b">
        <v>0</v>
      </c>
    </row>
    <row r="78" spans="40:40" x14ac:dyDescent="0.2">
      <c r="AN78" t="b">
        <v>0</v>
      </c>
    </row>
  </sheetData>
  <mergeCells count="60">
    <mergeCell ref="J31:K31"/>
    <mergeCell ref="J40:K40"/>
    <mergeCell ref="L37:N37"/>
    <mergeCell ref="J37:K37"/>
    <mergeCell ref="J36:K36"/>
    <mergeCell ref="L36:N36"/>
    <mergeCell ref="J9:K9"/>
    <mergeCell ref="L9:N9"/>
    <mergeCell ref="A2:B2"/>
    <mergeCell ref="J2:K2"/>
    <mergeCell ref="L2:N2"/>
    <mergeCell ref="C2:E2"/>
    <mergeCell ref="L7:N7"/>
    <mergeCell ref="J8:K8"/>
    <mergeCell ref="L8:N8"/>
    <mergeCell ref="A9:B9"/>
    <mergeCell ref="L3:N3"/>
    <mergeCell ref="J4:K4"/>
    <mergeCell ref="L4:N4"/>
    <mergeCell ref="J5:K5"/>
    <mergeCell ref="L5:N5"/>
    <mergeCell ref="J6:K6"/>
    <mergeCell ref="L6:N6"/>
    <mergeCell ref="J3:K3"/>
    <mergeCell ref="J7:K7"/>
    <mergeCell ref="J13:R13"/>
    <mergeCell ref="A6:B6"/>
    <mergeCell ref="C6:E6"/>
    <mergeCell ref="A7:B7"/>
    <mergeCell ref="A3:B3"/>
    <mergeCell ref="C3:E3"/>
    <mergeCell ref="J10:K10"/>
    <mergeCell ref="L10:N10"/>
    <mergeCell ref="A4:B4"/>
    <mergeCell ref="C4:E4"/>
    <mergeCell ref="A5:B5"/>
    <mergeCell ref="C5:E5"/>
    <mergeCell ref="A13:E13"/>
    <mergeCell ref="C9:E9"/>
    <mergeCell ref="C7:E7"/>
    <mergeCell ref="A8:B8"/>
    <mergeCell ref="C8:E8"/>
    <mergeCell ref="A10:B10"/>
    <mergeCell ref="C10:E10"/>
    <mergeCell ref="J11:K11"/>
    <mergeCell ref="L11:N11"/>
    <mergeCell ref="J38:K38"/>
    <mergeCell ref="L38:N38"/>
    <mergeCell ref="F13:G13"/>
    <mergeCell ref="J30:K30"/>
    <mergeCell ref="L30:N30"/>
    <mergeCell ref="L34:N34"/>
    <mergeCell ref="J35:K35"/>
    <mergeCell ref="L35:N35"/>
    <mergeCell ref="J32:K32"/>
    <mergeCell ref="L32:N32"/>
    <mergeCell ref="J33:K33"/>
    <mergeCell ref="L33:N33"/>
    <mergeCell ref="J34:K34"/>
    <mergeCell ref="L31:N31"/>
  </mergeCells>
  <conditionalFormatting sqref="J23:N27 A15:E32">
    <cfRule type="cellIs" dxfId="18" priority="23" stopIfTrue="1" operator="notEqual">
      <formula>A14</formula>
    </cfRule>
  </conditionalFormatting>
  <conditionalFormatting sqref="R15:R27">
    <cfRule type="expression" dxfId="17" priority="15" stopIfTrue="1">
      <formula>OR(AND(AR15=2,AV15=FALSE),AND(AR15=1,AV15=TRUE))</formula>
    </cfRule>
  </conditionalFormatting>
  <conditionalFormatting sqref="U15:U27">
    <cfRule type="cellIs" dxfId="16" priority="16" stopIfTrue="1" operator="equal">
      <formula>"BRA"</formula>
    </cfRule>
    <cfRule type="cellIs" dxfId="15" priority="17" stopIfTrue="1" operator="equal">
      <formula>"DÅRLIG"</formula>
    </cfRule>
    <cfRule type="cellIs" dxfId="14" priority="18" stopIfTrue="1" operator="equal">
      <formula>"NORMALT"</formula>
    </cfRule>
  </conditionalFormatting>
  <conditionalFormatting sqref="J45:N47 J51:N51 J49:N49 J42:N43">
    <cfRule type="cellIs" dxfId="13" priority="2" stopIfTrue="1" operator="notEqual">
      <formula>J41</formula>
    </cfRule>
  </conditionalFormatting>
  <conditionalFormatting sqref="J50:N50">
    <cfRule type="cellIs" dxfId="12" priority="11" stopIfTrue="1" operator="notEqual">
      <formula>J48</formula>
    </cfRule>
  </conditionalFormatting>
  <conditionalFormatting sqref="J15:N22">
    <cfRule type="cellIs" dxfId="11" priority="1" stopIfTrue="1" operator="notEqual">
      <formula>J14</formula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10"/>
  <dimension ref="A1:V46"/>
  <sheetViews>
    <sheetView workbookViewId="0">
      <selection activeCell="N6" sqref="N6"/>
    </sheetView>
  </sheetViews>
  <sheetFormatPr baseColWidth="10" defaultRowHeight="12.75" x14ac:dyDescent="0.2"/>
  <cols>
    <col min="5" max="5" width="18.28515625" bestFit="1" customWidth="1"/>
    <col min="12" max="12" width="11.42578125" customWidth="1"/>
    <col min="13" max="13" width="5.42578125" customWidth="1"/>
    <col min="14" max="14" width="12" customWidth="1"/>
    <col min="15" max="15" width="15.7109375" customWidth="1"/>
  </cols>
  <sheetData>
    <row r="1" spans="1:22" x14ac:dyDescent="0.2">
      <c r="A1" s="194"/>
      <c r="B1" s="194"/>
      <c r="C1" s="194"/>
      <c r="D1" s="194"/>
      <c r="E1" s="191"/>
      <c r="F1" s="191"/>
      <c r="G1" s="191"/>
      <c r="H1" s="191"/>
      <c r="I1" s="191"/>
      <c r="J1" s="191"/>
      <c r="K1" s="191"/>
      <c r="L1" s="1"/>
    </row>
    <row r="2" spans="1:22" x14ac:dyDescent="0.2">
      <c r="A2" s="322" t="s">
        <v>141</v>
      </c>
      <c r="B2" s="322"/>
      <c r="C2" s="322"/>
      <c r="D2" s="200"/>
      <c r="E2" s="135" t="s">
        <v>137</v>
      </c>
      <c r="F2" s="345"/>
      <c r="G2" s="346"/>
      <c r="H2" s="191"/>
      <c r="I2" s="192" t="s">
        <v>37</v>
      </c>
      <c r="J2" s="290"/>
      <c r="K2" s="290"/>
      <c r="N2" s="316" t="s">
        <v>1045</v>
      </c>
      <c r="O2" s="317"/>
      <c r="P2" s="318"/>
      <c r="R2" s="201"/>
      <c r="S2" s="352" t="s">
        <v>1048</v>
      </c>
      <c r="T2" s="353"/>
      <c r="U2" s="354"/>
    </row>
    <row r="3" spans="1:22" x14ac:dyDescent="0.2">
      <c r="A3" s="322"/>
      <c r="B3" s="322"/>
      <c r="C3" s="322"/>
      <c r="D3" s="200"/>
      <c r="E3" s="12" t="s">
        <v>138</v>
      </c>
      <c r="F3" s="359"/>
      <c r="G3" s="358"/>
      <c r="H3" s="41"/>
      <c r="I3" s="12" t="s">
        <v>25</v>
      </c>
      <c r="J3" s="290"/>
      <c r="K3" s="290"/>
      <c r="N3" s="319"/>
      <c r="O3" s="320"/>
      <c r="P3" s="321"/>
      <c r="S3" s="355"/>
      <c r="T3" s="356"/>
      <c r="U3" s="357"/>
    </row>
    <row r="4" spans="1:22" x14ac:dyDescent="0.2">
      <c r="A4" s="48"/>
      <c r="B4" s="48"/>
      <c r="C4" s="194"/>
      <c r="D4" s="194"/>
      <c r="E4" s="12" t="s">
        <v>41</v>
      </c>
      <c r="F4" s="297"/>
      <c r="G4" s="298"/>
      <c r="H4" s="41"/>
      <c r="I4" s="12" t="str">
        <f>IF(F7="","mA",F7)</f>
        <v>mAs</v>
      </c>
      <c r="J4" s="290"/>
      <c r="K4" s="290"/>
      <c r="M4" s="334" t="s">
        <v>1046</v>
      </c>
      <c r="N4" s="323" t="str">
        <f>IF($F$7="","Innstilt mA","Innstilt "&amp;$F$7)</f>
        <v>Innstilt mAs</v>
      </c>
      <c r="O4" s="322" t="s">
        <v>1060</v>
      </c>
      <c r="P4" s="332" t="s">
        <v>143</v>
      </c>
      <c r="Q4" s="332" t="s">
        <v>144</v>
      </c>
    </row>
    <row r="5" spans="1:22" x14ac:dyDescent="0.2">
      <c r="A5" s="45"/>
      <c r="B5" s="46"/>
      <c r="C5" s="194"/>
      <c r="D5" s="194"/>
      <c r="E5" s="13" t="s">
        <v>139</v>
      </c>
      <c r="F5" s="296"/>
      <c r="G5" s="298"/>
      <c r="H5" s="191"/>
      <c r="I5" s="13" t="s">
        <v>38</v>
      </c>
      <c r="J5" s="290"/>
      <c r="K5" s="290"/>
      <c r="M5" s="335"/>
      <c r="N5" s="324"/>
      <c r="O5" s="322"/>
      <c r="P5" s="332"/>
      <c r="Q5" s="332"/>
      <c r="S5" s="229" t="s">
        <v>1027</v>
      </c>
      <c r="T5" s="229" t="s">
        <v>1028</v>
      </c>
      <c r="U5" s="229" t="s">
        <v>1029</v>
      </c>
      <c r="V5" s="229" t="s">
        <v>1030</v>
      </c>
    </row>
    <row r="6" spans="1:22" x14ac:dyDescent="0.2">
      <c r="A6" s="45"/>
      <c r="B6" s="161"/>
      <c r="C6" s="194"/>
      <c r="D6" s="194"/>
      <c r="E6" s="230" t="s">
        <v>928</v>
      </c>
      <c r="F6" s="296"/>
      <c r="G6" s="298"/>
      <c r="H6" s="191"/>
      <c r="I6" s="110" t="s">
        <v>32</v>
      </c>
      <c r="J6" s="290"/>
      <c r="K6" s="290"/>
      <c r="M6" s="335"/>
      <c r="N6" s="247"/>
      <c r="O6" s="248"/>
      <c r="P6" s="328" t="str">
        <f>IF(O6,SLOPE(O6:O12,N6:N12),"")</f>
        <v/>
      </c>
      <c r="Q6" s="328" t="str">
        <f>IF(O6,INTERCEPT(O6:O12,N6:N12),"")</f>
        <v/>
      </c>
      <c r="S6" s="229">
        <v>1</v>
      </c>
      <c r="T6" s="231" t="str">
        <f>E11</f>
        <v/>
      </c>
      <c r="U6" s="231" t="str">
        <f>E21</f>
        <v/>
      </c>
      <c r="V6" s="232" t="str">
        <f>IF(U6&lt;&gt;"",_xlfn.STDEV.S(T6:U6)/AVERAGE(T6:U6),"")</f>
        <v/>
      </c>
    </row>
    <row r="7" spans="1:22" x14ac:dyDescent="0.2">
      <c r="A7" s="194"/>
      <c r="B7" s="194"/>
      <c r="C7" s="194"/>
      <c r="D7" s="194"/>
      <c r="E7" s="245" t="s">
        <v>1059</v>
      </c>
      <c r="F7" s="360" t="s">
        <v>28</v>
      </c>
      <c r="G7" s="298"/>
      <c r="H7" s="191"/>
      <c r="I7" s="195" t="s">
        <v>140</v>
      </c>
      <c r="J7" s="290"/>
      <c r="K7" s="290"/>
      <c r="M7" s="335"/>
      <c r="N7" s="247"/>
      <c r="O7" s="248"/>
      <c r="P7" s="329"/>
      <c r="Q7" s="329"/>
      <c r="S7" s="229">
        <v>2</v>
      </c>
      <c r="T7" s="231" t="str">
        <f>E13</f>
        <v/>
      </c>
      <c r="U7" s="231" t="str">
        <f>E19</f>
        <v/>
      </c>
      <c r="V7" s="232" t="str">
        <f t="shared" ref="V7:V8" si="0">IF(U7&lt;&gt;"",_xlfn.STDEV.S(T7:U7)/AVERAGE(T7:U7),"")</f>
        <v/>
      </c>
    </row>
    <row r="8" spans="1:22" x14ac:dyDescent="0.2">
      <c r="A8" s="196"/>
      <c r="B8" s="196"/>
      <c r="C8" s="188"/>
      <c r="D8" s="196"/>
      <c r="E8" s="196"/>
      <c r="F8" s="197"/>
      <c r="G8" s="197"/>
      <c r="H8" s="197"/>
      <c r="I8" s="198"/>
      <c r="J8" s="198"/>
      <c r="K8" s="198"/>
      <c r="M8" s="335"/>
      <c r="N8" s="247"/>
      <c r="O8" s="248"/>
      <c r="P8" s="329"/>
      <c r="Q8" s="329"/>
      <c r="S8" s="229">
        <v>3</v>
      </c>
      <c r="T8" s="231" t="str">
        <f>E15</f>
        <v/>
      </c>
      <c r="U8" s="231" t="str">
        <f>E17</f>
        <v/>
      </c>
      <c r="V8" s="232" t="str">
        <f t="shared" si="0"/>
        <v/>
      </c>
    </row>
    <row r="9" spans="1:22" ht="12.75" customHeight="1" x14ac:dyDescent="0.2">
      <c r="A9" s="322" t="s">
        <v>132</v>
      </c>
      <c r="B9" s="350" t="s">
        <v>133</v>
      </c>
      <c r="C9" s="235"/>
      <c r="D9" s="299" t="s">
        <v>134</v>
      </c>
      <c r="E9" s="331"/>
      <c r="F9" s="331"/>
      <c r="G9" s="331"/>
      <c r="H9" s="331"/>
      <c r="I9" s="300"/>
      <c r="J9" s="305" t="s">
        <v>135</v>
      </c>
      <c r="K9" s="305"/>
      <c r="M9" s="335"/>
      <c r="N9" s="247"/>
      <c r="O9" s="248"/>
      <c r="P9" s="329"/>
      <c r="Q9" s="329"/>
    </row>
    <row r="10" spans="1:22" ht="14.25" customHeight="1" x14ac:dyDescent="0.2">
      <c r="A10" s="349"/>
      <c r="B10" s="349"/>
      <c r="C10" s="169" t="str">
        <f>IF($F$7="","Avlest mA","Avlest "&amp;$F$7)</f>
        <v>Avlest mAs</v>
      </c>
      <c r="D10" s="10" t="s">
        <v>1057</v>
      </c>
      <c r="E10" s="299" t="s">
        <v>136</v>
      </c>
      <c r="F10" s="300"/>
      <c r="G10" s="169" t="s">
        <v>31</v>
      </c>
      <c r="H10" s="333" t="s">
        <v>108</v>
      </c>
      <c r="I10" s="333"/>
      <c r="J10" s="333"/>
      <c r="K10" s="333"/>
      <c r="M10" s="335"/>
      <c r="N10" s="247"/>
      <c r="O10" s="248"/>
      <c r="P10" s="329"/>
      <c r="Q10" s="329"/>
    </row>
    <row r="11" spans="1:22" x14ac:dyDescent="0.2">
      <c r="A11" s="347">
        <v>1</v>
      </c>
      <c r="B11" s="249" t="s">
        <v>1061</v>
      </c>
      <c r="C11" s="248"/>
      <c r="D11" s="244" t="str">
        <f t="shared" ref="D11:D16" si="1">IF(C11&gt;0,$P$6*C11+$Q$6,"")</f>
        <v/>
      </c>
      <c r="E11" s="337" t="str">
        <f>IF(D11&lt;&gt;"",AVERAGE(D11:D12),"")</f>
        <v/>
      </c>
      <c r="F11" s="337" t="str">
        <f>IF(D11&lt;&gt;"",AVERAGE(D11:D16),"")</f>
        <v/>
      </c>
      <c r="G11" s="339" t="str">
        <f>IF(D11&lt;&gt;"",ABS(E11-$F$11)/E11,"")</f>
        <v/>
      </c>
      <c r="H11" s="341" t="str">
        <f>IF(D11&lt;&gt;"",STDEV(D11:D12),"")</f>
        <v/>
      </c>
      <c r="I11" s="341" t="str">
        <f>IF(D11&lt;&gt;"",STDEV(D11:D16),"")</f>
        <v/>
      </c>
      <c r="J11" s="325" t="str">
        <f>IF(D11&lt;&gt;"",H11/E11,"")</f>
        <v/>
      </c>
      <c r="K11" s="325" t="str">
        <f>IF(D11&lt;&gt;"",I11:I16/F11,"")</f>
        <v/>
      </c>
      <c r="M11" s="335"/>
      <c r="N11" s="247"/>
      <c r="O11" s="248"/>
      <c r="P11" s="329"/>
      <c r="Q11" s="329"/>
      <c r="S11" s="352" t="s">
        <v>1049</v>
      </c>
      <c r="T11" s="353"/>
      <c r="U11" s="354"/>
    </row>
    <row r="12" spans="1:22" x14ac:dyDescent="0.2">
      <c r="A12" s="348"/>
      <c r="B12" s="250" t="s">
        <v>1061</v>
      </c>
      <c r="C12" s="248"/>
      <c r="D12" s="244" t="str">
        <f t="shared" si="1"/>
        <v/>
      </c>
      <c r="E12" s="338"/>
      <c r="F12" s="343"/>
      <c r="G12" s="340"/>
      <c r="H12" s="342"/>
      <c r="I12" s="344"/>
      <c r="J12" s="327"/>
      <c r="K12" s="326"/>
      <c r="M12" s="336"/>
      <c r="N12" s="247"/>
      <c r="O12" s="248"/>
      <c r="P12" s="330"/>
      <c r="Q12" s="330"/>
      <c r="S12" s="355"/>
      <c r="T12" s="356"/>
      <c r="U12" s="357"/>
    </row>
    <row r="13" spans="1:22" x14ac:dyDescent="0.2">
      <c r="A13" s="348"/>
      <c r="B13" s="249" t="s">
        <v>1062</v>
      </c>
      <c r="C13" s="248"/>
      <c r="D13" s="244" t="str">
        <f t="shared" si="1"/>
        <v/>
      </c>
      <c r="E13" s="337" t="str">
        <f t="shared" ref="E13" si="2">IF(D13&lt;&gt;"",AVERAGE(D13:D14),"")</f>
        <v/>
      </c>
      <c r="F13" s="343"/>
      <c r="G13" s="339" t="str">
        <f t="shared" ref="G13" si="3">IF(D13&lt;&gt;"",ABS(E13-$F$11)/E13,"")</f>
        <v/>
      </c>
      <c r="H13" s="341" t="str">
        <f t="shared" ref="H13" si="4">IF(D13&lt;&gt;"",STDEV(D13:D14),"")</f>
        <v/>
      </c>
      <c r="I13" s="344"/>
      <c r="J13" s="325" t="str">
        <f t="shared" ref="J13" si="5">IF(D13&lt;&gt;"",H13/E13,"")</f>
        <v/>
      </c>
      <c r="K13" s="326"/>
      <c r="M13" s="334" t="s">
        <v>1047</v>
      </c>
      <c r="N13" s="323" t="str">
        <f>IF($F$7="","Innstilt mA","Innstilt "&amp;$F$7)</f>
        <v>Innstilt mAs</v>
      </c>
      <c r="O13" s="322" t="s">
        <v>1060</v>
      </c>
      <c r="P13" s="332" t="s">
        <v>143</v>
      </c>
      <c r="Q13" s="332" t="s">
        <v>144</v>
      </c>
    </row>
    <row r="14" spans="1:22" x14ac:dyDescent="0.2">
      <c r="A14" s="348"/>
      <c r="B14" s="250" t="s">
        <v>1062</v>
      </c>
      <c r="C14" s="248"/>
      <c r="D14" s="244" t="str">
        <f t="shared" si="1"/>
        <v/>
      </c>
      <c r="E14" s="338"/>
      <c r="F14" s="343"/>
      <c r="G14" s="340"/>
      <c r="H14" s="342"/>
      <c r="I14" s="344"/>
      <c r="J14" s="327"/>
      <c r="K14" s="326"/>
      <c r="M14" s="335"/>
      <c r="N14" s="324"/>
      <c r="O14" s="322"/>
      <c r="P14" s="332"/>
      <c r="Q14" s="332"/>
      <c r="S14" s="229" t="s">
        <v>1027</v>
      </c>
      <c r="T14" s="229" t="s">
        <v>1028</v>
      </c>
      <c r="U14" s="229" t="s">
        <v>1029</v>
      </c>
      <c r="V14" s="229" t="s">
        <v>1030</v>
      </c>
    </row>
    <row r="15" spans="1:22" x14ac:dyDescent="0.2">
      <c r="A15" s="348"/>
      <c r="B15" s="249" t="s">
        <v>1063</v>
      </c>
      <c r="C15" s="248"/>
      <c r="D15" s="244" t="str">
        <f t="shared" si="1"/>
        <v/>
      </c>
      <c r="E15" s="337" t="str">
        <f t="shared" ref="E15" si="6">IF(D15&lt;&gt;"",AVERAGE(D15:D16),"")</f>
        <v/>
      </c>
      <c r="F15" s="343"/>
      <c r="G15" s="339" t="str">
        <f t="shared" ref="G15" si="7">IF(D15&lt;&gt;"",ABS(E15-$F$11)/E15,"")</f>
        <v/>
      </c>
      <c r="H15" s="341" t="str">
        <f t="shared" ref="H15" si="8">IF(D15&lt;&gt;"",STDEV(D15:D16),"")</f>
        <v/>
      </c>
      <c r="I15" s="344"/>
      <c r="J15" s="325" t="str">
        <f t="shared" ref="J15" si="9">IF(D15&lt;&gt;"",H15/E15,"")</f>
        <v/>
      </c>
      <c r="K15" s="326"/>
      <c r="M15" s="335"/>
      <c r="N15" s="247"/>
      <c r="O15" s="248"/>
      <c r="P15" s="328" t="str">
        <f>IF(O15,SLOPE(O15:O21,N15:N21),"")</f>
        <v/>
      </c>
      <c r="Q15" s="328" t="str">
        <f>IF(O15,INTERCEPT(O15:O21,N15:N21),"")</f>
        <v/>
      </c>
      <c r="S15" s="229">
        <v>1</v>
      </c>
      <c r="T15" s="231" t="str">
        <f>E35</f>
        <v/>
      </c>
      <c r="U15" s="231" t="str">
        <f>E45</f>
        <v/>
      </c>
      <c r="V15" s="232" t="str">
        <f>IF(U15&lt;&gt;"",_xlfn.STDEV.S(T15:U15)/AVERAGE(T15:U15),"")</f>
        <v/>
      </c>
    </row>
    <row r="16" spans="1:22" x14ac:dyDescent="0.2">
      <c r="A16" s="348"/>
      <c r="B16" s="250" t="s">
        <v>1063</v>
      </c>
      <c r="C16" s="248"/>
      <c r="D16" s="244" t="str">
        <f t="shared" si="1"/>
        <v/>
      </c>
      <c r="E16" s="338"/>
      <c r="F16" s="338"/>
      <c r="G16" s="340"/>
      <c r="H16" s="342"/>
      <c r="I16" s="342"/>
      <c r="J16" s="327"/>
      <c r="K16" s="327"/>
      <c r="M16" s="335"/>
      <c r="N16" s="247"/>
      <c r="O16" s="248"/>
      <c r="P16" s="329"/>
      <c r="Q16" s="329"/>
      <c r="S16" s="229">
        <v>2</v>
      </c>
      <c r="T16" s="231" t="str">
        <f>E37</f>
        <v/>
      </c>
      <c r="U16" s="231" t="str">
        <f>E43</f>
        <v/>
      </c>
      <c r="V16" s="232" t="str">
        <f t="shared" ref="V16:V17" si="10">IF(U16&lt;&gt;"",_xlfn.STDEV.S(T16:U16)/AVERAGE(T16:U16),"")</f>
        <v/>
      </c>
    </row>
    <row r="17" spans="1:22" x14ac:dyDescent="0.2">
      <c r="A17" s="351">
        <v>2</v>
      </c>
      <c r="B17" s="251" t="s">
        <v>1063</v>
      </c>
      <c r="C17" s="248"/>
      <c r="D17" s="244" t="str">
        <f t="shared" ref="D17:D22" si="11">IF(C17&gt;0,$P$15*C17+$Q$15,"")</f>
        <v/>
      </c>
      <c r="E17" s="337" t="str">
        <f t="shared" ref="E17" si="12">IF(D17&lt;&gt;"",AVERAGE(D17:D18),"")</f>
        <v/>
      </c>
      <c r="F17" s="337" t="str">
        <f>IF(D17&lt;&gt;"",AVERAGE(D17:D22),"")</f>
        <v/>
      </c>
      <c r="G17" s="339" t="str">
        <f>IF(D17&lt;&gt;"",ABS(E17-$F$17)/E17,"")</f>
        <v/>
      </c>
      <c r="H17" s="341" t="str">
        <f t="shared" ref="H17" si="13">IF(D17&lt;&gt;"",STDEV(D17:D18),"")</f>
        <v/>
      </c>
      <c r="I17" s="341" t="str">
        <f>IF(D17&lt;&gt;"",STDEV(D17:D22),"")</f>
        <v/>
      </c>
      <c r="J17" s="325" t="str">
        <f t="shared" ref="J17" si="14">IF(D17&lt;&gt;"",H17/E17,"")</f>
        <v/>
      </c>
      <c r="K17" s="325" t="str">
        <f>IF(D17&lt;&gt;"",I17:I22/F17,"")</f>
        <v/>
      </c>
      <c r="M17" s="335"/>
      <c r="N17" s="247"/>
      <c r="O17" s="248"/>
      <c r="P17" s="329"/>
      <c r="Q17" s="329"/>
      <c r="S17" s="229">
        <v>3</v>
      </c>
      <c r="T17" s="231" t="str">
        <f>E39</f>
        <v/>
      </c>
      <c r="U17" s="231" t="str">
        <f>E41</f>
        <v/>
      </c>
      <c r="V17" s="232" t="str">
        <f t="shared" si="10"/>
        <v/>
      </c>
    </row>
    <row r="18" spans="1:22" x14ac:dyDescent="0.2">
      <c r="A18" s="351"/>
      <c r="B18" s="250" t="s">
        <v>1063</v>
      </c>
      <c r="C18" s="248"/>
      <c r="D18" s="244" t="str">
        <f t="shared" si="11"/>
        <v/>
      </c>
      <c r="E18" s="338"/>
      <c r="F18" s="343"/>
      <c r="G18" s="340"/>
      <c r="H18" s="342"/>
      <c r="I18" s="344"/>
      <c r="J18" s="327"/>
      <c r="K18" s="326"/>
      <c r="M18" s="335"/>
      <c r="N18" s="247"/>
      <c r="O18" s="248"/>
      <c r="P18" s="329"/>
      <c r="Q18" s="329"/>
    </row>
    <row r="19" spans="1:22" x14ac:dyDescent="0.2">
      <c r="A19" s="351"/>
      <c r="B19" s="249" t="s">
        <v>1062</v>
      </c>
      <c r="C19" s="248"/>
      <c r="D19" s="244" t="str">
        <f t="shared" si="11"/>
        <v/>
      </c>
      <c r="E19" s="337" t="str">
        <f t="shared" ref="E19" si="15">IF(D19&lt;&gt;"",AVERAGE(D19:D20),"")</f>
        <v/>
      </c>
      <c r="F19" s="343"/>
      <c r="G19" s="339" t="str">
        <f t="shared" ref="G19" si="16">IF(D19&lt;&gt;"",ABS(E19-$F$17)/E19,"")</f>
        <v/>
      </c>
      <c r="H19" s="341" t="str">
        <f t="shared" ref="H19" si="17">IF(D19&lt;&gt;"",STDEV(D19:D20),"")</f>
        <v/>
      </c>
      <c r="I19" s="344"/>
      <c r="J19" s="325" t="str">
        <f t="shared" ref="J19" si="18">IF(D19&lt;&gt;"",H19/E19,"")</f>
        <v/>
      </c>
      <c r="K19" s="326"/>
      <c r="M19" s="335"/>
      <c r="N19" s="247"/>
      <c r="O19" s="248"/>
      <c r="P19" s="329"/>
      <c r="Q19" s="329"/>
    </row>
    <row r="20" spans="1:22" x14ac:dyDescent="0.2">
      <c r="A20" s="351"/>
      <c r="B20" s="250" t="s">
        <v>1062</v>
      </c>
      <c r="C20" s="248"/>
      <c r="D20" s="244" t="str">
        <f t="shared" si="11"/>
        <v/>
      </c>
      <c r="E20" s="338"/>
      <c r="F20" s="343"/>
      <c r="G20" s="340"/>
      <c r="H20" s="342"/>
      <c r="I20" s="344"/>
      <c r="J20" s="327"/>
      <c r="K20" s="326"/>
      <c r="M20" s="335"/>
      <c r="N20" s="247"/>
      <c r="O20" s="248"/>
      <c r="P20" s="329"/>
      <c r="Q20" s="329"/>
    </row>
    <row r="21" spans="1:22" x14ac:dyDescent="0.2">
      <c r="A21" s="351"/>
      <c r="B21" s="249" t="s">
        <v>1061</v>
      </c>
      <c r="C21" s="248"/>
      <c r="D21" s="244" t="str">
        <f t="shared" si="11"/>
        <v/>
      </c>
      <c r="E21" s="337" t="str">
        <f t="shared" ref="E21" si="19">IF(D21&lt;&gt;"",AVERAGE(D21:D22),"")</f>
        <v/>
      </c>
      <c r="F21" s="343"/>
      <c r="G21" s="339" t="str">
        <f t="shared" ref="G21" si="20">IF(D21&lt;&gt;"",ABS(E21-$F$17)/E21,"")</f>
        <v/>
      </c>
      <c r="H21" s="341" t="str">
        <f t="shared" ref="H21" si="21">IF(D21&lt;&gt;"",STDEV(D21:D22),"")</f>
        <v/>
      </c>
      <c r="I21" s="344"/>
      <c r="J21" s="325" t="str">
        <f t="shared" ref="J21" si="22">IF(D21&lt;&gt;"",H21/E21,"")</f>
        <v/>
      </c>
      <c r="K21" s="326"/>
      <c r="M21" s="336"/>
      <c r="N21" s="247"/>
      <c r="O21" s="248"/>
      <c r="P21" s="330"/>
      <c r="Q21" s="330"/>
    </row>
    <row r="22" spans="1:22" x14ac:dyDescent="0.2">
      <c r="A22" s="351"/>
      <c r="B22" s="250" t="s">
        <v>1061</v>
      </c>
      <c r="C22" s="248"/>
      <c r="D22" s="244" t="str">
        <f t="shared" si="11"/>
        <v/>
      </c>
      <c r="E22" s="338"/>
      <c r="F22" s="338"/>
      <c r="G22" s="340"/>
      <c r="H22" s="342"/>
      <c r="I22" s="342"/>
      <c r="J22" s="327"/>
      <c r="K22" s="327"/>
    </row>
    <row r="25" spans="1:22" x14ac:dyDescent="0.2">
      <c r="A25" s="194"/>
      <c r="B25" s="194"/>
      <c r="C25" s="194"/>
      <c r="D25" s="194"/>
      <c r="E25" s="191"/>
      <c r="F25" s="191"/>
      <c r="G25" s="191"/>
      <c r="H25" s="191"/>
      <c r="I25" s="191"/>
      <c r="J25" s="191"/>
      <c r="K25" s="191"/>
    </row>
    <row r="26" spans="1:22" x14ac:dyDescent="0.2">
      <c r="A26" s="305" t="s">
        <v>142</v>
      </c>
      <c r="B26" s="305"/>
      <c r="C26" s="305"/>
      <c r="D26" s="199"/>
      <c r="E26" s="135" t="s">
        <v>137</v>
      </c>
      <c r="F26" s="345"/>
      <c r="G26" s="346"/>
      <c r="H26" s="191"/>
      <c r="I26" s="192" t="s">
        <v>37</v>
      </c>
      <c r="J26" s="290"/>
      <c r="K26" s="290"/>
    </row>
    <row r="27" spans="1:22" x14ac:dyDescent="0.2">
      <c r="A27" s="305"/>
      <c r="B27" s="305"/>
      <c r="C27" s="305"/>
      <c r="D27" s="199"/>
      <c r="E27" s="12" t="s">
        <v>138</v>
      </c>
      <c r="F27" s="298"/>
      <c r="G27" s="358"/>
      <c r="H27" s="41"/>
      <c r="I27" s="12" t="s">
        <v>25</v>
      </c>
      <c r="J27" s="290"/>
      <c r="K27" s="290"/>
    </row>
    <row r="28" spans="1:22" x14ac:dyDescent="0.2">
      <c r="A28" s="48"/>
      <c r="B28" s="48"/>
      <c r="C28" s="194"/>
      <c r="D28" s="194"/>
      <c r="E28" s="12" t="s">
        <v>41</v>
      </c>
      <c r="F28" s="297"/>
      <c r="G28" s="298"/>
      <c r="H28" s="41"/>
      <c r="I28" s="12" t="s">
        <v>26</v>
      </c>
      <c r="J28" s="290"/>
      <c r="K28" s="290"/>
    </row>
    <row r="29" spans="1:22" x14ac:dyDescent="0.2">
      <c r="A29" s="45"/>
      <c r="B29" s="46"/>
      <c r="C29" s="194"/>
      <c r="D29" s="194"/>
      <c r="E29" s="13" t="s">
        <v>139</v>
      </c>
      <c r="F29" s="296"/>
      <c r="G29" s="298"/>
      <c r="H29" s="191"/>
      <c r="I29" s="13" t="s">
        <v>38</v>
      </c>
      <c r="J29" s="290"/>
      <c r="K29" s="290"/>
    </row>
    <row r="30" spans="1:22" x14ac:dyDescent="0.2">
      <c r="A30" s="45"/>
      <c r="B30" s="161"/>
      <c r="C30" s="194"/>
      <c r="D30" s="194"/>
      <c r="E30" s="230" t="s">
        <v>928</v>
      </c>
      <c r="F30" s="296"/>
      <c r="G30" s="298"/>
      <c r="H30" s="191"/>
      <c r="I30" s="110" t="s">
        <v>32</v>
      </c>
      <c r="J30" s="290"/>
      <c r="K30" s="290"/>
    </row>
    <row r="31" spans="1:22" x14ac:dyDescent="0.2">
      <c r="A31" s="194"/>
      <c r="B31" s="194"/>
      <c r="C31" s="194"/>
      <c r="D31" s="194"/>
      <c r="E31" s="188"/>
      <c r="F31" s="194"/>
      <c r="G31" s="191"/>
      <c r="H31" s="191"/>
      <c r="I31" s="195" t="s">
        <v>140</v>
      </c>
      <c r="J31" s="290"/>
      <c r="K31" s="290"/>
    </row>
    <row r="33" spans="1:11" x14ac:dyDescent="0.2">
      <c r="A33" s="322" t="s">
        <v>132</v>
      </c>
      <c r="B33" s="350" t="s">
        <v>133</v>
      </c>
      <c r="C33" s="236"/>
      <c r="D33" s="299" t="s">
        <v>134</v>
      </c>
      <c r="E33" s="331"/>
      <c r="F33" s="331"/>
      <c r="G33" s="331"/>
      <c r="H33" s="331"/>
      <c r="I33" s="300"/>
      <c r="J33" s="305" t="s">
        <v>135</v>
      </c>
      <c r="K33" s="305"/>
    </row>
    <row r="34" spans="1:11" x14ac:dyDescent="0.2">
      <c r="A34" s="349"/>
      <c r="B34" s="349"/>
      <c r="C34" s="246" t="str">
        <f>IF($F$7="","Avlest mA","Avlest "&amp;$F$7)</f>
        <v>Avlest mAs</v>
      </c>
      <c r="D34" s="10" t="s">
        <v>1057</v>
      </c>
      <c r="E34" s="299" t="s">
        <v>136</v>
      </c>
      <c r="F34" s="300"/>
      <c r="G34" s="169" t="s">
        <v>31</v>
      </c>
      <c r="H34" s="333" t="s">
        <v>108</v>
      </c>
      <c r="I34" s="333"/>
      <c r="J34" s="333"/>
      <c r="K34" s="333"/>
    </row>
    <row r="35" spans="1:11" x14ac:dyDescent="0.2">
      <c r="A35" s="347">
        <v>1</v>
      </c>
      <c r="B35" s="249" t="s">
        <v>1061</v>
      </c>
      <c r="C35" s="248"/>
      <c r="D35" s="244" t="str">
        <f t="shared" ref="D35:D40" si="23">IF(C35&gt;0,$P$6*C35+$Q$6,"")</f>
        <v/>
      </c>
      <c r="E35" s="337" t="str">
        <f>IF(D35&lt;&gt;"",AVERAGE(D35:D36),"")</f>
        <v/>
      </c>
      <c r="F35" s="337" t="str">
        <f>IF(D35&lt;&gt;"",AVERAGE(D35:D40),"")</f>
        <v/>
      </c>
      <c r="G35" s="339" t="str">
        <f>IF(D35&lt;&gt;"",ABS(E35-$F$35)/E35,"")</f>
        <v/>
      </c>
      <c r="H35" s="341" t="str">
        <f>IF(D35&lt;&gt;"",STDEV(D35:D36),"")</f>
        <v/>
      </c>
      <c r="I35" s="341" t="str">
        <f>IF(D35&lt;&gt;"",STDEV(D35:D40),"")</f>
        <v/>
      </c>
      <c r="J35" s="325" t="str">
        <f>IF(D35&lt;&gt;"",H35/E35,"")</f>
        <v/>
      </c>
      <c r="K35" s="325" t="str">
        <f>IF(D35&lt;&gt;"",I35:I40/F35,"")</f>
        <v/>
      </c>
    </row>
    <row r="36" spans="1:11" x14ac:dyDescent="0.2">
      <c r="A36" s="348"/>
      <c r="B36" s="250" t="s">
        <v>1061</v>
      </c>
      <c r="C36" s="248"/>
      <c r="D36" s="244" t="str">
        <f t="shared" si="23"/>
        <v/>
      </c>
      <c r="E36" s="338"/>
      <c r="F36" s="343"/>
      <c r="G36" s="340"/>
      <c r="H36" s="342"/>
      <c r="I36" s="344"/>
      <c r="J36" s="327"/>
      <c r="K36" s="326"/>
    </row>
    <row r="37" spans="1:11" x14ac:dyDescent="0.2">
      <c r="A37" s="348"/>
      <c r="B37" s="249" t="s">
        <v>1062</v>
      </c>
      <c r="C37" s="248"/>
      <c r="D37" s="244" t="str">
        <f t="shared" si="23"/>
        <v/>
      </c>
      <c r="E37" s="337" t="str">
        <f t="shared" ref="E37" si="24">IF(D37&lt;&gt;"",AVERAGE(D37:D38),"")</f>
        <v/>
      </c>
      <c r="F37" s="343"/>
      <c r="G37" s="339" t="str">
        <f t="shared" ref="G37" si="25">IF(D37&lt;&gt;"",ABS(E37-$F$35)/E37,"")</f>
        <v/>
      </c>
      <c r="H37" s="341" t="str">
        <f t="shared" ref="H37" si="26">IF(D37&lt;&gt;"",STDEV(D37:D38),"")</f>
        <v/>
      </c>
      <c r="I37" s="344"/>
      <c r="J37" s="325" t="str">
        <f t="shared" ref="J37" si="27">IF(D37&lt;&gt;"",H37/E37,"")</f>
        <v/>
      </c>
      <c r="K37" s="326"/>
    </row>
    <row r="38" spans="1:11" x14ac:dyDescent="0.2">
      <c r="A38" s="348"/>
      <c r="B38" s="250" t="s">
        <v>1062</v>
      </c>
      <c r="C38" s="248"/>
      <c r="D38" s="244" t="str">
        <f t="shared" si="23"/>
        <v/>
      </c>
      <c r="E38" s="338"/>
      <c r="F38" s="343"/>
      <c r="G38" s="340"/>
      <c r="H38" s="342"/>
      <c r="I38" s="344"/>
      <c r="J38" s="327"/>
      <c r="K38" s="326"/>
    </row>
    <row r="39" spans="1:11" x14ac:dyDescent="0.2">
      <c r="A39" s="348"/>
      <c r="B39" s="249" t="s">
        <v>1063</v>
      </c>
      <c r="C39" s="248"/>
      <c r="D39" s="244" t="str">
        <f t="shared" si="23"/>
        <v/>
      </c>
      <c r="E39" s="337" t="str">
        <f t="shared" ref="E39" si="28">IF(D39&lt;&gt;"",AVERAGE(D39:D40),"")</f>
        <v/>
      </c>
      <c r="F39" s="343"/>
      <c r="G39" s="339" t="str">
        <f t="shared" ref="G39" si="29">IF(D39&lt;&gt;"",ABS(E39-$F$35)/E39,"")</f>
        <v/>
      </c>
      <c r="H39" s="341" t="str">
        <f t="shared" ref="H39" si="30">IF(D39&lt;&gt;"",STDEV(D39:D40),"")</f>
        <v/>
      </c>
      <c r="I39" s="344"/>
      <c r="J39" s="325" t="str">
        <f t="shared" ref="J39" si="31">IF(D39&lt;&gt;"",H39/E39,"")</f>
        <v/>
      </c>
      <c r="K39" s="326"/>
    </row>
    <row r="40" spans="1:11" x14ac:dyDescent="0.2">
      <c r="A40" s="348"/>
      <c r="B40" s="250" t="s">
        <v>1063</v>
      </c>
      <c r="C40" s="248"/>
      <c r="D40" s="244" t="str">
        <f t="shared" si="23"/>
        <v/>
      </c>
      <c r="E40" s="338"/>
      <c r="F40" s="338"/>
      <c r="G40" s="340"/>
      <c r="H40" s="342"/>
      <c r="I40" s="342"/>
      <c r="J40" s="327"/>
      <c r="K40" s="327"/>
    </row>
    <row r="41" spans="1:11" x14ac:dyDescent="0.2">
      <c r="A41" s="351">
        <v>2</v>
      </c>
      <c r="B41" s="251" t="s">
        <v>1063</v>
      </c>
      <c r="C41" s="248"/>
      <c r="D41" s="244" t="str">
        <f t="shared" ref="D41:D46" si="32">IF(C41&gt;0,$P$15*C41+$Q$15,"")</f>
        <v/>
      </c>
      <c r="E41" s="337" t="str">
        <f t="shared" ref="E41" si="33">IF(D41&lt;&gt;"",AVERAGE(D41:D42),"")</f>
        <v/>
      </c>
      <c r="F41" s="337" t="str">
        <f>IF(D41&lt;&gt;"",AVERAGE(D41:D46),"")</f>
        <v/>
      </c>
      <c r="G41" s="339" t="str">
        <f>IF(D41&lt;&gt;"",ABS(E41-$F$41)/E41,"")</f>
        <v/>
      </c>
      <c r="H41" s="341" t="str">
        <f t="shared" ref="H41" si="34">IF(D41&lt;&gt;"",STDEV(D41:D42),"")</f>
        <v/>
      </c>
      <c r="I41" s="341" t="str">
        <f>IF(D41&lt;&gt;"",STDEV(D41:D46),"")</f>
        <v/>
      </c>
      <c r="J41" s="325" t="str">
        <f t="shared" ref="J41" si="35">IF(D41&lt;&gt;"",H41/E41,"")</f>
        <v/>
      </c>
      <c r="K41" s="325" t="str">
        <f>IF(D41&lt;&gt;"",I41:I46/F41,"")</f>
        <v/>
      </c>
    </row>
    <row r="42" spans="1:11" x14ac:dyDescent="0.2">
      <c r="A42" s="351"/>
      <c r="B42" s="250" t="s">
        <v>1063</v>
      </c>
      <c r="C42" s="248"/>
      <c r="D42" s="244" t="str">
        <f t="shared" si="32"/>
        <v/>
      </c>
      <c r="E42" s="338"/>
      <c r="F42" s="343"/>
      <c r="G42" s="340"/>
      <c r="H42" s="342"/>
      <c r="I42" s="344"/>
      <c r="J42" s="327"/>
      <c r="K42" s="326"/>
    </row>
    <row r="43" spans="1:11" x14ac:dyDescent="0.2">
      <c r="A43" s="351"/>
      <c r="B43" s="249" t="s">
        <v>1062</v>
      </c>
      <c r="C43" s="248"/>
      <c r="D43" s="244" t="str">
        <f t="shared" si="32"/>
        <v/>
      </c>
      <c r="E43" s="337" t="str">
        <f t="shared" ref="E43" si="36">IF(D43&lt;&gt;"",AVERAGE(D43:D44),"")</f>
        <v/>
      </c>
      <c r="F43" s="343"/>
      <c r="G43" s="339" t="str">
        <f t="shared" ref="G43" si="37">IF(D43&lt;&gt;"",ABS(E43-$F$41)/E43,"")</f>
        <v/>
      </c>
      <c r="H43" s="341" t="str">
        <f t="shared" ref="H43" si="38">IF(D43&lt;&gt;"",STDEV(D43:D44),"")</f>
        <v/>
      </c>
      <c r="I43" s="344"/>
      <c r="J43" s="325" t="str">
        <f t="shared" ref="J43" si="39">IF(D43&lt;&gt;"",H43/E43,"")</f>
        <v/>
      </c>
      <c r="K43" s="326"/>
    </row>
    <row r="44" spans="1:11" x14ac:dyDescent="0.2">
      <c r="A44" s="351"/>
      <c r="B44" s="250" t="s">
        <v>1062</v>
      </c>
      <c r="C44" s="248"/>
      <c r="D44" s="244" t="str">
        <f t="shared" si="32"/>
        <v/>
      </c>
      <c r="E44" s="338"/>
      <c r="F44" s="343"/>
      <c r="G44" s="340"/>
      <c r="H44" s="342"/>
      <c r="I44" s="344"/>
      <c r="J44" s="327"/>
      <c r="K44" s="326"/>
    </row>
    <row r="45" spans="1:11" x14ac:dyDescent="0.2">
      <c r="A45" s="351"/>
      <c r="B45" s="249" t="s">
        <v>1061</v>
      </c>
      <c r="C45" s="248"/>
      <c r="D45" s="244" t="str">
        <f t="shared" si="32"/>
        <v/>
      </c>
      <c r="E45" s="337" t="str">
        <f t="shared" ref="E45" si="40">IF(D45&lt;&gt;"",AVERAGE(D45:D46),"")</f>
        <v/>
      </c>
      <c r="F45" s="343"/>
      <c r="G45" s="339" t="str">
        <f t="shared" ref="G45" si="41">IF(D45&lt;&gt;"",ABS(E45-$F$41)/E45,"")</f>
        <v/>
      </c>
      <c r="H45" s="341" t="str">
        <f t="shared" ref="H45" si="42">IF(D45&lt;&gt;"",STDEV(D45:D46),"")</f>
        <v/>
      </c>
      <c r="I45" s="344"/>
      <c r="J45" s="325" t="str">
        <f t="shared" ref="J45" si="43">IF(D45&lt;&gt;"",H45/E45,"")</f>
        <v/>
      </c>
      <c r="K45" s="326"/>
    </row>
    <row r="46" spans="1:11" x14ac:dyDescent="0.2">
      <c r="A46" s="351"/>
      <c r="B46" s="250" t="s">
        <v>1061</v>
      </c>
      <c r="C46" s="248"/>
      <c r="D46" s="244" t="str">
        <f t="shared" si="32"/>
        <v/>
      </c>
      <c r="E46" s="338"/>
      <c r="F46" s="338"/>
      <c r="G46" s="340"/>
      <c r="H46" s="342"/>
      <c r="I46" s="342"/>
      <c r="J46" s="327"/>
      <c r="K46" s="327"/>
    </row>
  </sheetData>
  <mergeCells count="118">
    <mergeCell ref="A2:C3"/>
    <mergeCell ref="A9:A10"/>
    <mergeCell ref="B9:B10"/>
    <mergeCell ref="G13:G14"/>
    <mergeCell ref="A17:A22"/>
    <mergeCell ref="H11:H12"/>
    <mergeCell ref="F27:G27"/>
    <mergeCell ref="G19:G20"/>
    <mergeCell ref="G21:G22"/>
    <mergeCell ref="H21:H22"/>
    <mergeCell ref="G11:G12"/>
    <mergeCell ref="F3:G3"/>
    <mergeCell ref="F4:G4"/>
    <mergeCell ref="E10:F10"/>
    <mergeCell ref="H10:I10"/>
    <mergeCell ref="F2:G2"/>
    <mergeCell ref="F7:G7"/>
    <mergeCell ref="A41:A46"/>
    <mergeCell ref="E41:E42"/>
    <mergeCell ref="F29:G29"/>
    <mergeCell ref="S2:U3"/>
    <mergeCell ref="S11:U12"/>
    <mergeCell ref="I17:I22"/>
    <mergeCell ref="F17:F22"/>
    <mergeCell ref="A11:A16"/>
    <mergeCell ref="F11:F16"/>
    <mergeCell ref="E21:E22"/>
    <mergeCell ref="E19:E20"/>
    <mergeCell ref="E17:E18"/>
    <mergeCell ref="E15:E16"/>
    <mergeCell ref="E13:E14"/>
    <mergeCell ref="E11:E12"/>
    <mergeCell ref="I11:I16"/>
    <mergeCell ref="H13:H14"/>
    <mergeCell ref="H15:H16"/>
    <mergeCell ref="H17:H18"/>
    <mergeCell ref="I35:I40"/>
    <mergeCell ref="E37:E38"/>
    <mergeCell ref="E34:F34"/>
    <mergeCell ref="H34:I34"/>
    <mergeCell ref="A26:C27"/>
    <mergeCell ref="A35:A40"/>
    <mergeCell ref="H35:H36"/>
    <mergeCell ref="G37:G38"/>
    <mergeCell ref="H37:H38"/>
    <mergeCell ref="J37:J38"/>
    <mergeCell ref="K35:K40"/>
    <mergeCell ref="A33:A34"/>
    <mergeCell ref="B33:B34"/>
    <mergeCell ref="E39:E40"/>
    <mergeCell ref="H39:H40"/>
    <mergeCell ref="J39:J40"/>
    <mergeCell ref="E35:E36"/>
    <mergeCell ref="F35:F40"/>
    <mergeCell ref="G35:G36"/>
    <mergeCell ref="D33:I33"/>
    <mergeCell ref="G39:G40"/>
    <mergeCell ref="J28:K28"/>
    <mergeCell ref="G15:G16"/>
    <mergeCell ref="G17:G18"/>
    <mergeCell ref="F26:G26"/>
    <mergeCell ref="H19:H20"/>
    <mergeCell ref="J29:K29"/>
    <mergeCell ref="J30:K30"/>
    <mergeCell ref="J31:K31"/>
    <mergeCell ref="F30:G30"/>
    <mergeCell ref="F28:G28"/>
    <mergeCell ref="J41:J42"/>
    <mergeCell ref="K41:K46"/>
    <mergeCell ref="E43:E44"/>
    <mergeCell ref="G43:G44"/>
    <mergeCell ref="H43:H44"/>
    <mergeCell ref="J43:J44"/>
    <mergeCell ref="E45:E46"/>
    <mergeCell ref="J45:J46"/>
    <mergeCell ref="F41:F46"/>
    <mergeCell ref="G41:G42"/>
    <mergeCell ref="H41:H42"/>
    <mergeCell ref="I41:I46"/>
    <mergeCell ref="G45:G46"/>
    <mergeCell ref="H45:H46"/>
    <mergeCell ref="Q4:Q5"/>
    <mergeCell ref="Q6:Q12"/>
    <mergeCell ref="J5:K5"/>
    <mergeCell ref="J6:K6"/>
    <mergeCell ref="J35:J36"/>
    <mergeCell ref="J26:K26"/>
    <mergeCell ref="J33:K34"/>
    <mergeCell ref="N13:N14"/>
    <mergeCell ref="O13:O14"/>
    <mergeCell ref="P13:P14"/>
    <mergeCell ref="J27:K27"/>
    <mergeCell ref="K17:K22"/>
    <mergeCell ref="J17:J18"/>
    <mergeCell ref="J19:J20"/>
    <mergeCell ref="J21:J22"/>
    <mergeCell ref="P4:P5"/>
    <mergeCell ref="J7:K7"/>
    <mergeCell ref="Q13:Q14"/>
    <mergeCell ref="P15:P21"/>
    <mergeCell ref="Q15:Q21"/>
    <mergeCell ref="M13:M21"/>
    <mergeCell ref="M4:M12"/>
    <mergeCell ref="J4:K4"/>
    <mergeCell ref="J9:K10"/>
    <mergeCell ref="N2:P3"/>
    <mergeCell ref="O4:O5"/>
    <mergeCell ref="N4:N5"/>
    <mergeCell ref="K11:K16"/>
    <mergeCell ref="J11:J12"/>
    <mergeCell ref="J13:J14"/>
    <mergeCell ref="J15:J16"/>
    <mergeCell ref="P6:P12"/>
    <mergeCell ref="F5:G5"/>
    <mergeCell ref="F6:G6"/>
    <mergeCell ref="D9:I9"/>
    <mergeCell ref="J2:K2"/>
    <mergeCell ref="J3:K3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9"/>
  <dimension ref="A1:U27"/>
  <sheetViews>
    <sheetView workbookViewId="0">
      <selection activeCell="D2" sqref="D2:F2"/>
    </sheetView>
  </sheetViews>
  <sheetFormatPr baseColWidth="10" defaultRowHeight="12.75" x14ac:dyDescent="0.2"/>
  <cols>
    <col min="4" max="4" width="21.140625" customWidth="1"/>
  </cols>
  <sheetData>
    <row r="1" spans="1:21" x14ac:dyDescent="0.2">
      <c r="A1" s="45"/>
      <c r="B1" s="45"/>
      <c r="C1" s="5"/>
      <c r="D1" s="257" t="s">
        <v>1058</v>
      </c>
      <c r="E1" s="258"/>
      <c r="F1" s="258"/>
      <c r="G1" s="258"/>
      <c r="H1" s="258"/>
      <c r="I1" s="258"/>
      <c r="J1" s="259"/>
      <c r="K1" s="5"/>
      <c r="L1" s="368" t="s">
        <v>100</v>
      </c>
      <c r="M1" s="368"/>
      <c r="N1" s="368"/>
      <c r="O1" s="5"/>
      <c r="P1" s="5"/>
      <c r="Q1" s="5"/>
      <c r="R1" s="5"/>
      <c r="S1" s="5"/>
      <c r="T1" s="5"/>
      <c r="U1" s="5"/>
    </row>
    <row r="2" spans="1:21" x14ac:dyDescent="0.2">
      <c r="A2" s="48"/>
      <c r="B2" s="48"/>
      <c r="C2" s="5"/>
      <c r="D2" s="304" t="s">
        <v>101</v>
      </c>
      <c r="E2" s="304"/>
      <c r="F2" s="304"/>
      <c r="G2" s="5"/>
      <c r="H2" s="304" t="s">
        <v>75</v>
      </c>
      <c r="I2" s="304"/>
      <c r="J2" s="304"/>
      <c r="K2" s="5"/>
      <c r="L2" s="369" t="s">
        <v>20</v>
      </c>
      <c r="M2" s="369"/>
      <c r="N2" s="369"/>
      <c r="O2" s="5"/>
      <c r="P2" s="5"/>
      <c r="Q2" s="5"/>
      <c r="R2" s="5"/>
      <c r="S2" s="5"/>
      <c r="T2" s="5"/>
      <c r="U2" s="5"/>
    </row>
    <row r="3" spans="1:21" ht="15.75" x14ac:dyDescent="0.3">
      <c r="A3" s="45"/>
      <c r="B3" s="46"/>
      <c r="C3" s="5"/>
      <c r="D3" s="162" t="s">
        <v>102</v>
      </c>
      <c r="E3" s="163">
        <v>22</v>
      </c>
      <c r="F3" s="162" t="s">
        <v>115</v>
      </c>
      <c r="G3" s="5"/>
      <c r="H3" s="304" t="s">
        <v>116</v>
      </c>
      <c r="I3" s="304"/>
      <c r="J3" s="164">
        <f>'DAP kalibreringsbevis'!B11</f>
        <v>1.1399999999999999</v>
      </c>
      <c r="K3" s="5"/>
      <c r="L3" s="364" t="s">
        <v>42</v>
      </c>
      <c r="M3" s="364"/>
      <c r="N3" s="364"/>
      <c r="O3" s="5"/>
      <c r="P3" s="5"/>
      <c r="Q3" s="5"/>
      <c r="R3" s="5"/>
      <c r="S3" s="102"/>
      <c r="T3" s="5"/>
      <c r="U3" s="5"/>
    </row>
    <row r="4" spans="1:21" x14ac:dyDescent="0.2">
      <c r="A4" s="45"/>
      <c r="B4" s="161"/>
      <c r="C4" s="5"/>
      <c r="D4" s="164" t="s">
        <v>103</v>
      </c>
      <c r="E4" s="165">
        <v>102</v>
      </c>
      <c r="F4" s="166">
        <f>(273.2+E3)*'DAP kalibreringsbevis'!H10/(273.2+'DAP kalibreringsbevis'!H9)/E4</f>
        <v>1.000158494502849</v>
      </c>
      <c r="G4" s="5"/>
      <c r="H4" s="203"/>
      <c r="I4" s="203"/>
      <c r="J4" s="203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 spans="1:21" x14ac:dyDescent="0.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202"/>
      <c r="O5" s="202"/>
      <c r="P5" s="202"/>
      <c r="Q5" s="202"/>
      <c r="R5" s="202"/>
      <c r="S5" s="202"/>
      <c r="T5" s="202"/>
      <c r="U5" s="168"/>
    </row>
    <row r="6" spans="1:21" ht="14.25" x14ac:dyDescent="0.2">
      <c r="A6" s="333" t="s">
        <v>104</v>
      </c>
      <c r="B6" s="333"/>
      <c r="C6" s="333" t="s">
        <v>105</v>
      </c>
      <c r="D6" s="333"/>
      <c r="E6" s="333"/>
      <c r="F6" s="333"/>
      <c r="G6" s="333" t="s">
        <v>117</v>
      </c>
      <c r="H6" s="333"/>
      <c r="I6" s="333"/>
      <c r="J6" s="333"/>
      <c r="K6" s="333"/>
      <c r="L6" s="333" t="s">
        <v>118</v>
      </c>
      <c r="M6" s="333"/>
      <c r="N6" s="333"/>
      <c r="O6" s="333"/>
      <c r="P6" s="363" t="s">
        <v>119</v>
      </c>
      <c r="Q6" s="363"/>
      <c r="R6" s="363"/>
      <c r="S6" s="363"/>
      <c r="T6" s="363"/>
      <c r="U6" s="193"/>
    </row>
    <row r="7" spans="1:21" ht="12.75" customHeight="1" x14ac:dyDescent="0.2">
      <c r="A7" s="305" t="s">
        <v>35</v>
      </c>
      <c r="B7" s="322" t="s">
        <v>30</v>
      </c>
      <c r="C7" s="305" t="s">
        <v>35</v>
      </c>
      <c r="D7" s="305"/>
      <c r="E7" s="305" t="s">
        <v>106</v>
      </c>
      <c r="F7" s="305"/>
      <c r="G7" s="305" t="s">
        <v>120</v>
      </c>
      <c r="H7" s="305" t="s">
        <v>121</v>
      </c>
      <c r="I7" s="305" t="s">
        <v>122</v>
      </c>
      <c r="J7" s="305" t="s">
        <v>107</v>
      </c>
      <c r="K7" s="305" t="s">
        <v>108</v>
      </c>
      <c r="L7" s="305" t="s">
        <v>35</v>
      </c>
      <c r="M7" s="305"/>
      <c r="N7" s="305" t="s">
        <v>106</v>
      </c>
      <c r="O7" s="305"/>
      <c r="P7" s="363" t="s">
        <v>123</v>
      </c>
      <c r="Q7" s="363" t="s">
        <v>124</v>
      </c>
      <c r="R7" s="363" t="s">
        <v>125</v>
      </c>
      <c r="S7" s="305" t="s">
        <v>107</v>
      </c>
      <c r="T7" s="305" t="s">
        <v>108</v>
      </c>
      <c r="U7" s="371" t="s">
        <v>109</v>
      </c>
    </row>
    <row r="8" spans="1:21" ht="14.25" x14ac:dyDescent="0.2">
      <c r="A8" s="305"/>
      <c r="B8" s="322"/>
      <c r="C8" s="12" t="s">
        <v>126</v>
      </c>
      <c r="D8" s="12" t="s">
        <v>110</v>
      </c>
      <c r="E8" s="12" t="s">
        <v>126</v>
      </c>
      <c r="F8" s="12" t="s">
        <v>110</v>
      </c>
      <c r="G8" s="305"/>
      <c r="H8" s="305"/>
      <c r="I8" s="305"/>
      <c r="J8" s="305"/>
      <c r="K8" s="305"/>
      <c r="L8" s="12" t="s">
        <v>127</v>
      </c>
      <c r="M8" s="12" t="s">
        <v>128</v>
      </c>
      <c r="N8" s="12" t="s">
        <v>127</v>
      </c>
      <c r="O8" s="12" t="s">
        <v>128</v>
      </c>
      <c r="P8" s="363"/>
      <c r="Q8" s="363"/>
      <c r="R8" s="363"/>
      <c r="S8" s="305"/>
      <c r="T8" s="305"/>
      <c r="U8" s="372"/>
    </row>
    <row r="9" spans="1:21" x14ac:dyDescent="0.2">
      <c r="A9" s="177">
        <v>40</v>
      </c>
      <c r="B9" s="177" t="str">
        <f>IF(VLOOKUP(A9,Røntgenrør!B$10:I$25,8)&gt;0,VLOOKUP(A9,Røntgenrør!B$10:I$25,8),"")</f>
        <v/>
      </c>
      <c r="C9" s="171">
        <f>INDEX(kvint,A9-'DAP kalibreringsbevis'!N$3+1,2)</f>
        <v>1.17</v>
      </c>
      <c r="D9" s="171">
        <f>INDEX(kvint,A9-'DAP kalibreringsbevis'!N$3+1,3)</f>
        <v>0.84</v>
      </c>
      <c r="E9" s="171" t="e">
        <f>INDEX(hvlint,(B9-'DAP kalibreringsbevis'!R$3)*100+1,2)</f>
        <v>#VALUE!</v>
      </c>
      <c r="F9" s="171" t="e">
        <f>INDEX(hvlint,(B9-'DAP kalibreringsbevis'!R$3)*100+1,3)</f>
        <v>#VALUE!</v>
      </c>
      <c r="G9" s="172"/>
      <c r="H9" s="172"/>
      <c r="I9" s="172"/>
      <c r="J9" s="173" t="str">
        <f>IF(G9,AVERAGE(G9:I9),"")</f>
        <v/>
      </c>
      <c r="K9" s="173" t="e">
        <f>STDEV(G9:I9)</f>
        <v>#DIV/0!</v>
      </c>
      <c r="L9" s="174" t="str">
        <f>IF(G9,J9*$J$3*C9*$F$4,"")</f>
        <v/>
      </c>
      <c r="M9" s="174" t="str">
        <f>IF(G9,L9*D9,"")</f>
        <v/>
      </c>
      <c r="N9" s="174" t="str">
        <f>IF(G9,J9*$J$3*E9*$F$4,"")</f>
        <v/>
      </c>
      <c r="O9" s="174" t="str">
        <f>IF(G9,N9*F9,"")</f>
        <v/>
      </c>
      <c r="P9" s="175"/>
      <c r="Q9" s="170"/>
      <c r="R9" s="170"/>
      <c r="S9" s="173" t="str">
        <f>IF(P9,AVERAGE(P9:R9),"")</f>
        <v/>
      </c>
      <c r="T9" s="173" t="e">
        <f>STDEV(P9:R9)</f>
        <v>#DIV/0!</v>
      </c>
      <c r="U9" s="243" t="str">
        <f>IF(AND(G9&lt;&gt;"",P9&lt;&gt;""),S9/L9-1,"")</f>
        <v/>
      </c>
    </row>
    <row r="10" spans="1:21" x14ac:dyDescent="0.2">
      <c r="A10" s="177">
        <v>70</v>
      </c>
      <c r="B10" s="177" t="str">
        <f>IF(VLOOKUP(A10,Røntgenrør!B$10:I$25,8)&gt;0,VLOOKUP(A10,Røntgenrør!B$10:I$25,8),"")</f>
        <v/>
      </c>
      <c r="C10" s="171">
        <f>INDEX(kvint,A10-'DAP kalibreringsbevis'!N$3+1,2)</f>
        <v>1</v>
      </c>
      <c r="D10" s="171">
        <f>INDEX(kvint,A10-'DAP kalibreringsbevis'!N$3+1,3)</f>
        <v>0.87</v>
      </c>
      <c r="E10" s="171" t="e">
        <f>INDEX(hvlint,(B10-'DAP kalibreringsbevis'!R$3)*100+1,2)</f>
        <v>#VALUE!</v>
      </c>
      <c r="F10" s="171" t="e">
        <f>INDEX(hvlint,(B10-'DAP kalibreringsbevis'!R$3)*100+1,3)</f>
        <v>#VALUE!</v>
      </c>
      <c r="G10" s="177"/>
      <c r="H10" s="177"/>
      <c r="I10" s="177"/>
      <c r="J10" s="173" t="str">
        <f>IF(G10,AVERAGE(G10:I10),"")</f>
        <v/>
      </c>
      <c r="K10" s="178" t="e">
        <f>STDEV(G10:I10)</f>
        <v>#DIV/0!</v>
      </c>
      <c r="L10" s="174" t="str">
        <f>IF(G10,J10*$J$3*C10*$F$4,"")</f>
        <v/>
      </c>
      <c r="M10" s="174" t="str">
        <f t="shared" ref="M10:M13" si="0">IF(G10,L10*D10,"")</f>
        <v/>
      </c>
      <c r="N10" s="174" t="str">
        <f>IF(G10,J10*$J$3*E10*$F$4,"")</f>
        <v/>
      </c>
      <c r="O10" s="174" t="str">
        <f t="shared" ref="O10:O13" si="1">IF(G10,N10*F10,"")</f>
        <v/>
      </c>
      <c r="P10" s="176"/>
      <c r="Q10" s="176"/>
      <c r="R10" s="176"/>
      <c r="S10" s="173" t="str">
        <f>IF(P10,AVERAGE(P10:R10),"")</f>
        <v/>
      </c>
      <c r="T10" s="178" t="e">
        <f>STDEV(P10:R10)</f>
        <v>#DIV/0!</v>
      </c>
      <c r="U10" s="243" t="str">
        <f t="shared" ref="U10:U13" si="2">IF(AND(G10&lt;&gt;"",P10&lt;&gt;""),S10/L10-1,"")</f>
        <v/>
      </c>
    </row>
    <row r="11" spans="1:21" x14ac:dyDescent="0.2">
      <c r="A11" s="177">
        <v>100</v>
      </c>
      <c r="B11" s="177" t="str">
        <f>IF(VLOOKUP(A11,Røntgenrør!B$10:I$25,8)&gt;0,VLOOKUP(A11,Røntgenrør!B$10:I$25,8),"")</f>
        <v/>
      </c>
      <c r="C11" s="171">
        <f>INDEX(kvint,A11-'DAP kalibreringsbevis'!N$3+1,2)</f>
        <v>0.98</v>
      </c>
      <c r="D11" s="171">
        <f>INDEX(kvint,A11-'DAP kalibreringsbevis'!N$3+1,3)</f>
        <v>0.89</v>
      </c>
      <c r="E11" s="171" t="e">
        <f>INDEX(hvlint,(B11-'DAP kalibreringsbevis'!R$3)*100+1,2)</f>
        <v>#VALUE!</v>
      </c>
      <c r="F11" s="171" t="e">
        <f>INDEX(hvlint,(B11-'DAP kalibreringsbevis'!R$3)*100+1,3)</f>
        <v>#VALUE!</v>
      </c>
      <c r="G11" s="177"/>
      <c r="H11" s="177"/>
      <c r="I11" s="177"/>
      <c r="J11" s="173" t="str">
        <f>IF(G11,AVERAGE(G11:I11),"")</f>
        <v/>
      </c>
      <c r="K11" s="178" t="e">
        <f>STDEV(G11:I11)</f>
        <v>#DIV/0!</v>
      </c>
      <c r="L11" s="174" t="str">
        <f>IF(G11,J11*$J$3*C11*$F$4,"")</f>
        <v/>
      </c>
      <c r="M11" s="174" t="str">
        <f t="shared" si="0"/>
        <v/>
      </c>
      <c r="N11" s="174" t="str">
        <f>IF(G11,J11*$J$3*E11*$F$4,"")</f>
        <v/>
      </c>
      <c r="O11" s="174" t="str">
        <f t="shared" si="1"/>
        <v/>
      </c>
      <c r="P11" s="176"/>
      <c r="Q11" s="176"/>
      <c r="R11" s="176"/>
      <c r="S11" s="173" t="str">
        <f>IF(P11,AVERAGE(P11:R11),"")</f>
        <v/>
      </c>
      <c r="T11" s="178" t="e">
        <f>STDEV(P11:R11)</f>
        <v>#DIV/0!</v>
      </c>
      <c r="U11" s="243" t="str">
        <f t="shared" si="2"/>
        <v/>
      </c>
    </row>
    <row r="12" spans="1:21" x14ac:dyDescent="0.2">
      <c r="A12" s="177">
        <v>120</v>
      </c>
      <c r="B12" s="177" t="str">
        <f>IF(VLOOKUP(A12,Røntgenrør!B$10:I$25,8)&gt;0,VLOOKUP(A12,Røntgenrør!B$10:I$25,8),"")</f>
        <v/>
      </c>
      <c r="C12" s="171">
        <f>INDEX(kvint,A12-'DAP kalibreringsbevis'!N$3+1,2)</f>
        <v>0.99</v>
      </c>
      <c r="D12" s="171">
        <f>INDEX(kvint,A12-'DAP kalibreringsbevis'!N$3+1,3)</f>
        <v>0.9</v>
      </c>
      <c r="E12" s="171" t="e">
        <f>INDEX(hvlint,(B12-'DAP kalibreringsbevis'!R$3)*100+1,2)</f>
        <v>#VALUE!</v>
      </c>
      <c r="F12" s="171" t="e">
        <f>INDEX(hvlint,(B12-'DAP kalibreringsbevis'!R$3)*100+1,3)</f>
        <v>#VALUE!</v>
      </c>
      <c r="G12" s="177"/>
      <c r="H12" s="177"/>
      <c r="I12" s="177"/>
      <c r="J12" s="173" t="str">
        <f>IF(G12,AVERAGE(G12:I12),"")</f>
        <v/>
      </c>
      <c r="K12" s="178" t="e">
        <f>STDEV(G12:I12)</f>
        <v>#DIV/0!</v>
      </c>
      <c r="L12" s="174" t="str">
        <f>IF(G12,J12*$J$3*C12*$F$4,"")</f>
        <v/>
      </c>
      <c r="M12" s="174" t="str">
        <f t="shared" si="0"/>
        <v/>
      </c>
      <c r="N12" s="174" t="str">
        <f>IF(G12,J12*$J$3*E12*$F$4,"")</f>
        <v/>
      </c>
      <c r="O12" s="174" t="str">
        <f t="shared" si="1"/>
        <v/>
      </c>
      <c r="P12" s="176"/>
      <c r="Q12" s="176"/>
      <c r="R12" s="176"/>
      <c r="S12" s="173" t="str">
        <f>IF(P12,AVERAGE(P12:R12),"")</f>
        <v/>
      </c>
      <c r="T12" s="178" t="e">
        <f>STDEV(P12:R12)</f>
        <v>#DIV/0!</v>
      </c>
      <c r="U12" s="243" t="str">
        <f t="shared" si="2"/>
        <v/>
      </c>
    </row>
    <row r="13" spans="1:21" x14ac:dyDescent="0.2">
      <c r="A13" s="177">
        <v>150</v>
      </c>
      <c r="B13" s="177" t="str">
        <f>IF(VLOOKUP(A13,Røntgenrør!B$10:I$25,8)&gt;0,VLOOKUP(A13,Røntgenrør!B$10:I$25,8),"")</f>
        <v/>
      </c>
      <c r="C13" s="171">
        <f>INDEX(kvint,A13-'DAP kalibreringsbevis'!N$3+1,2)</f>
        <v>1.01</v>
      </c>
      <c r="D13" s="171">
        <f>INDEX(kvint,A13-'DAP kalibreringsbevis'!N$3+1,3)</f>
        <v>0.9</v>
      </c>
      <c r="E13" s="171" t="e">
        <f>INDEX(hvlint,(B13-'DAP kalibreringsbevis'!R$3)*100+1,2)</f>
        <v>#VALUE!</v>
      </c>
      <c r="F13" s="171" t="e">
        <f>INDEX(hvlint,(B13-'DAP kalibreringsbevis'!R$3)*100+1,3)</f>
        <v>#VALUE!</v>
      </c>
      <c r="G13" s="177"/>
      <c r="H13" s="177"/>
      <c r="I13" s="177"/>
      <c r="J13" s="173" t="str">
        <f>IF(G13,AVERAGE(G13:I13),"")</f>
        <v/>
      </c>
      <c r="K13" s="178" t="e">
        <f>STDEV(G13:I13)</f>
        <v>#DIV/0!</v>
      </c>
      <c r="L13" s="174" t="str">
        <f>IF(G13,J13*$J$3*C13*$F$4,"")</f>
        <v/>
      </c>
      <c r="M13" s="174" t="str">
        <f t="shared" si="0"/>
        <v/>
      </c>
      <c r="N13" s="174" t="str">
        <f>IF(G13,J13*$J$3*E13*$F$4,"")</f>
        <v/>
      </c>
      <c r="O13" s="174" t="str">
        <f t="shared" si="1"/>
        <v/>
      </c>
      <c r="P13" s="176"/>
      <c r="Q13" s="176"/>
      <c r="R13" s="176"/>
      <c r="S13" s="173" t="str">
        <f>IF(P13,AVERAGE(P13:R13),"")</f>
        <v/>
      </c>
      <c r="T13" s="178" t="e">
        <f>STDEV(P13:R13)</f>
        <v>#DIV/0!</v>
      </c>
      <c r="U13" s="243" t="str">
        <f t="shared" si="2"/>
        <v/>
      </c>
    </row>
    <row r="14" spans="1:21" x14ac:dyDescent="0.2">
      <c r="A14" s="179"/>
      <c r="B14" s="167"/>
      <c r="C14" s="5"/>
      <c r="D14" s="5"/>
      <c r="E14" s="5"/>
      <c r="F14" s="5"/>
      <c r="G14" s="179"/>
      <c r="H14" s="167"/>
      <c r="I14" s="167"/>
      <c r="J14" s="180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</row>
    <row r="15" spans="1:21" x14ac:dyDescent="0.2">
      <c r="A15" s="116"/>
      <c r="B15" s="149"/>
      <c r="C15" s="9"/>
      <c r="D15" s="148"/>
      <c r="E15" s="148"/>
      <c r="F15" s="148"/>
      <c r="G15" s="365" t="s">
        <v>42</v>
      </c>
      <c r="H15" s="366"/>
      <c r="I15" s="366"/>
      <c r="J15" s="367"/>
      <c r="K15" s="5"/>
      <c r="L15" s="260" t="s">
        <v>111</v>
      </c>
      <c r="M15" s="260"/>
      <c r="N15" s="260"/>
      <c r="O15" s="260"/>
      <c r="P15" s="5"/>
      <c r="Q15" s="5"/>
      <c r="R15" s="5"/>
      <c r="S15" s="5"/>
      <c r="T15" s="5"/>
      <c r="U15" s="149"/>
    </row>
    <row r="16" spans="1:21" x14ac:dyDescent="0.2">
      <c r="A16" s="116"/>
      <c r="B16" s="220" t="s">
        <v>928</v>
      </c>
      <c r="C16" s="361"/>
      <c r="D16" s="362"/>
      <c r="E16" s="188"/>
      <c r="F16" s="188"/>
      <c r="G16" s="363" t="s">
        <v>112</v>
      </c>
      <c r="H16" s="363"/>
      <c r="I16" s="363"/>
      <c r="J16" s="363"/>
      <c r="K16" s="5"/>
      <c r="L16" s="260" t="s">
        <v>113</v>
      </c>
      <c r="M16" s="260"/>
      <c r="N16" s="260" t="s">
        <v>114</v>
      </c>
      <c r="O16" s="260"/>
      <c r="P16" s="5"/>
      <c r="Q16" s="5"/>
      <c r="R16" s="5"/>
      <c r="S16" s="5"/>
      <c r="T16" s="5"/>
      <c r="U16" s="149"/>
    </row>
    <row r="17" spans="1:21" ht="14.25" x14ac:dyDescent="0.2">
      <c r="A17" s="116"/>
      <c r="B17" s="149"/>
      <c r="C17" s="189"/>
      <c r="D17" s="189"/>
      <c r="E17" s="188"/>
      <c r="F17" s="188"/>
      <c r="G17" s="373" t="s">
        <v>35</v>
      </c>
      <c r="H17" s="267" t="s">
        <v>106</v>
      </c>
      <c r="I17" s="376" t="s">
        <v>129</v>
      </c>
      <c r="J17" s="377"/>
      <c r="K17" s="5"/>
      <c r="L17" s="379"/>
      <c r="M17" s="379"/>
      <c r="N17" s="380"/>
      <c r="O17" s="381"/>
      <c r="P17" s="5"/>
      <c r="Q17" s="5"/>
      <c r="R17" s="5"/>
      <c r="S17" s="5"/>
      <c r="T17" s="5"/>
      <c r="U17" s="149"/>
    </row>
    <row r="18" spans="1:21" x14ac:dyDescent="0.2">
      <c r="A18" s="116"/>
      <c r="B18" s="149"/>
      <c r="C18" s="189"/>
      <c r="D18" s="189"/>
      <c r="E18" s="184"/>
      <c r="F18" s="184"/>
      <c r="G18" s="374"/>
      <c r="H18" s="375"/>
      <c r="I18" s="181" t="s">
        <v>35</v>
      </c>
      <c r="J18" s="181" t="s">
        <v>106</v>
      </c>
      <c r="K18" s="5"/>
      <c r="L18" s="378"/>
      <c r="M18" s="378"/>
      <c r="N18" s="370" t="str">
        <f t="shared" ref="N18:N23" si="3">IF(L18&gt;0,L18-L17,"")</f>
        <v/>
      </c>
      <c r="O18" s="370"/>
      <c r="P18" s="5"/>
      <c r="Q18" s="5"/>
      <c r="R18" s="5"/>
      <c r="S18" s="5"/>
      <c r="T18" s="5"/>
      <c r="U18" s="149"/>
    </row>
    <row r="19" spans="1:21" x14ac:dyDescent="0.2">
      <c r="A19" s="116"/>
      <c r="B19" s="149"/>
      <c r="C19" s="185"/>
      <c r="D19" s="186"/>
      <c r="E19" s="187"/>
      <c r="F19" s="187"/>
      <c r="G19" s="190">
        <f t="shared" ref="G19:H23" si="4">A9</f>
        <v>40</v>
      </c>
      <c r="H19" s="182" t="str">
        <f t="shared" si="4"/>
        <v/>
      </c>
      <c r="I19" s="183" t="str">
        <f>IF(G9="","",S9/L9-1)</f>
        <v/>
      </c>
      <c r="J19" s="183" t="str">
        <f>IF(B$10&lt;&gt;"",IF(G9="","",S9/N9-1),"")</f>
        <v/>
      </c>
      <c r="K19" s="5"/>
      <c r="L19" s="378"/>
      <c r="M19" s="378"/>
      <c r="N19" s="370" t="str">
        <f t="shared" si="3"/>
        <v/>
      </c>
      <c r="O19" s="370"/>
      <c r="P19" s="5"/>
      <c r="Q19" s="5"/>
      <c r="R19" s="5"/>
      <c r="S19" s="5"/>
      <c r="T19" s="5"/>
      <c r="U19" s="149"/>
    </row>
    <row r="20" spans="1:21" x14ac:dyDescent="0.2">
      <c r="A20" s="116"/>
      <c r="B20" s="149"/>
      <c r="C20" s="185"/>
      <c r="D20" s="186"/>
      <c r="E20" s="187"/>
      <c r="F20" s="187"/>
      <c r="G20" s="190">
        <f t="shared" si="4"/>
        <v>70</v>
      </c>
      <c r="H20" s="182" t="str">
        <f t="shared" si="4"/>
        <v/>
      </c>
      <c r="I20" s="183" t="str">
        <f>IF(G10="","",S10/L10-1)</f>
        <v/>
      </c>
      <c r="J20" s="183" t="str">
        <f t="shared" ref="J20:J23" si="5">IF(B$10&lt;&gt;"",IF(G10="","",S10/N10-1),"")</f>
        <v/>
      </c>
      <c r="K20" s="5"/>
      <c r="L20" s="378"/>
      <c r="M20" s="378"/>
      <c r="N20" s="370" t="str">
        <f t="shared" si="3"/>
        <v/>
      </c>
      <c r="O20" s="370"/>
      <c r="P20" s="5"/>
      <c r="Q20" s="5"/>
      <c r="R20" s="5"/>
      <c r="S20" s="5"/>
      <c r="T20" s="5"/>
      <c r="U20" s="149"/>
    </row>
    <row r="21" spans="1:21" x14ac:dyDescent="0.2">
      <c r="A21" s="116"/>
      <c r="B21" s="149"/>
      <c r="C21" s="185"/>
      <c r="D21" s="186"/>
      <c r="E21" s="187"/>
      <c r="F21" s="187"/>
      <c r="G21" s="190">
        <f t="shared" si="4"/>
        <v>100</v>
      </c>
      <c r="H21" s="182" t="str">
        <f t="shared" si="4"/>
        <v/>
      </c>
      <c r="I21" s="183" t="str">
        <f>IF(G11="","",S11/L11-1)</f>
        <v/>
      </c>
      <c r="J21" s="183" t="str">
        <f t="shared" si="5"/>
        <v/>
      </c>
      <c r="K21" s="5"/>
      <c r="L21" s="378"/>
      <c r="M21" s="378"/>
      <c r="N21" s="370" t="str">
        <f t="shared" si="3"/>
        <v/>
      </c>
      <c r="O21" s="370"/>
      <c r="P21" s="5"/>
      <c r="Q21" s="5"/>
      <c r="R21" s="5"/>
      <c r="S21" s="5"/>
      <c r="T21" s="5"/>
      <c r="U21" s="149"/>
    </row>
    <row r="22" spans="1:21" x14ac:dyDescent="0.2">
      <c r="A22" s="116"/>
      <c r="B22" s="149"/>
      <c r="C22" s="185"/>
      <c r="D22" s="186"/>
      <c r="E22" s="187"/>
      <c r="F22" s="187"/>
      <c r="G22" s="190">
        <f t="shared" si="4"/>
        <v>120</v>
      </c>
      <c r="H22" s="182" t="str">
        <f t="shared" si="4"/>
        <v/>
      </c>
      <c r="I22" s="183" t="str">
        <f>IF(G12="","",S12/L12-1)</f>
        <v/>
      </c>
      <c r="J22" s="183" t="str">
        <f t="shared" si="5"/>
        <v/>
      </c>
      <c r="K22" s="5"/>
      <c r="L22" s="378"/>
      <c r="M22" s="378"/>
      <c r="N22" s="370" t="str">
        <f t="shared" si="3"/>
        <v/>
      </c>
      <c r="O22" s="370"/>
      <c r="P22" s="5"/>
      <c r="Q22" s="5"/>
      <c r="R22" s="5"/>
      <c r="S22" s="5"/>
      <c r="T22" s="5"/>
      <c r="U22" s="149"/>
    </row>
    <row r="23" spans="1:21" x14ac:dyDescent="0.2">
      <c r="A23" s="116"/>
      <c r="B23" s="149"/>
      <c r="C23" s="185"/>
      <c r="D23" s="186"/>
      <c r="E23" s="187"/>
      <c r="F23" s="187"/>
      <c r="G23" s="190">
        <f t="shared" si="4"/>
        <v>150</v>
      </c>
      <c r="H23" s="182" t="str">
        <f t="shared" si="4"/>
        <v/>
      </c>
      <c r="I23" s="183" t="str">
        <f>IF(G13="","",S13/L13-1)</f>
        <v/>
      </c>
      <c r="J23" s="183" t="str">
        <f t="shared" si="5"/>
        <v/>
      </c>
      <c r="K23" s="5"/>
      <c r="L23" s="378"/>
      <c r="M23" s="378"/>
      <c r="N23" s="370" t="str">
        <f t="shared" si="3"/>
        <v/>
      </c>
      <c r="O23" s="370"/>
      <c r="P23" s="5"/>
      <c r="Q23" s="5"/>
      <c r="R23" s="5"/>
      <c r="S23" s="5"/>
      <c r="T23" s="5"/>
      <c r="U23" s="149"/>
    </row>
    <row r="24" spans="1:21" x14ac:dyDescent="0.2">
      <c r="A24" s="116"/>
      <c r="B24" s="149"/>
      <c r="C24" s="11"/>
      <c r="D24" s="11"/>
      <c r="E24" s="11"/>
      <c r="F24" s="11"/>
      <c r="G24" s="11"/>
      <c r="H24" s="11"/>
      <c r="I24" s="11"/>
      <c r="J24" s="11"/>
      <c r="K24" s="5"/>
      <c r="L24" s="11"/>
      <c r="M24" s="11"/>
      <c r="N24" s="11"/>
      <c r="O24" s="11"/>
      <c r="P24" s="11"/>
      <c r="Q24" s="11"/>
      <c r="R24" s="11"/>
      <c r="S24" s="11"/>
      <c r="T24" s="11"/>
      <c r="U24" s="11"/>
    </row>
    <row r="25" spans="1:21" x14ac:dyDescent="0.2">
      <c r="A25" s="116"/>
      <c r="B25" s="149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</row>
    <row r="26" spans="1:21" x14ac:dyDescent="0.2">
      <c r="A26" s="160"/>
      <c r="B26" s="9"/>
    </row>
    <row r="27" spans="1:21" x14ac:dyDescent="0.2">
      <c r="A27" s="9"/>
      <c r="B27" s="9"/>
    </row>
  </sheetData>
  <mergeCells count="52">
    <mergeCell ref="G17:G18"/>
    <mergeCell ref="H17:H18"/>
    <mergeCell ref="I17:J17"/>
    <mergeCell ref="L23:M23"/>
    <mergeCell ref="N23:O23"/>
    <mergeCell ref="L22:M22"/>
    <mergeCell ref="N22:O22"/>
    <mergeCell ref="L20:M20"/>
    <mergeCell ref="N20:O20"/>
    <mergeCell ref="L21:M21"/>
    <mergeCell ref="N21:O21"/>
    <mergeCell ref="L17:M17"/>
    <mergeCell ref="N17:O17"/>
    <mergeCell ref="L18:M18"/>
    <mergeCell ref="N18:O18"/>
    <mergeCell ref="L19:M19"/>
    <mergeCell ref="N19:O19"/>
    <mergeCell ref="U7:U8"/>
    <mergeCell ref="L15:O15"/>
    <mergeCell ref="Q7:Q8"/>
    <mergeCell ref="L16:M16"/>
    <mergeCell ref="N16:O16"/>
    <mergeCell ref="L7:M7"/>
    <mergeCell ref="N7:O7"/>
    <mergeCell ref="P7:P8"/>
    <mergeCell ref="R7:R8"/>
    <mergeCell ref="S7:S8"/>
    <mergeCell ref="T7:T8"/>
    <mergeCell ref="A7:A8"/>
    <mergeCell ref="B7:B8"/>
    <mergeCell ref="A6:B6"/>
    <mergeCell ref="C6:F6"/>
    <mergeCell ref="G6:K6"/>
    <mergeCell ref="C7:D7"/>
    <mergeCell ref="E7:F7"/>
    <mergeCell ref="G7:G8"/>
    <mergeCell ref="H7:H8"/>
    <mergeCell ref="I7:I8"/>
    <mergeCell ref="J7:J8"/>
    <mergeCell ref="K7:K8"/>
    <mergeCell ref="D1:J1"/>
    <mergeCell ref="L1:N1"/>
    <mergeCell ref="D2:F2"/>
    <mergeCell ref="H2:J2"/>
    <mergeCell ref="L2:N2"/>
    <mergeCell ref="C16:D16"/>
    <mergeCell ref="L6:O6"/>
    <mergeCell ref="P6:T6"/>
    <mergeCell ref="H3:I3"/>
    <mergeCell ref="L3:N3"/>
    <mergeCell ref="G15:J15"/>
    <mergeCell ref="G16:J16"/>
  </mergeCells>
  <conditionalFormatting sqref="E19:E23 I19:I23">
    <cfRule type="expression" dxfId="10" priority="4" stopIfTrue="1">
      <formula>ABS(E19)&gt;$AC$22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46"/>
  <sheetViews>
    <sheetView tabSelected="1" workbookViewId="0">
      <selection activeCell="B13" sqref="B13:D13"/>
    </sheetView>
  </sheetViews>
  <sheetFormatPr baseColWidth="10" defaultRowHeight="12.75" x14ac:dyDescent="0.2"/>
  <cols>
    <col min="1" max="1" width="56.42578125" bestFit="1" customWidth="1"/>
    <col min="2" max="5" width="15.7109375" customWidth="1"/>
  </cols>
  <sheetData>
    <row r="2" spans="1:5" x14ac:dyDescent="0.2">
      <c r="A2" s="394" t="s">
        <v>1072</v>
      </c>
      <c r="B2" s="311"/>
      <c r="C2" s="312"/>
      <c r="D2" s="313"/>
      <c r="E2" s="395"/>
    </row>
    <row r="3" spans="1:5" x14ac:dyDescent="0.2">
      <c r="A3" s="37" t="s">
        <v>1073</v>
      </c>
      <c r="B3" s="396"/>
      <c r="C3" s="396"/>
      <c r="D3" s="396"/>
      <c r="E3" s="397"/>
    </row>
    <row r="4" spans="1:5" x14ac:dyDescent="0.2">
      <c r="A4" s="37" t="s">
        <v>35</v>
      </c>
      <c r="B4" s="398"/>
      <c r="C4" s="398"/>
      <c r="D4" s="398"/>
      <c r="E4" s="397"/>
    </row>
    <row r="5" spans="1:5" x14ac:dyDescent="0.2">
      <c r="A5" s="37" t="s">
        <v>26</v>
      </c>
      <c r="B5" s="398"/>
      <c r="C5" s="398"/>
      <c r="D5" s="398"/>
      <c r="E5" s="397"/>
    </row>
    <row r="6" spans="1:5" x14ac:dyDescent="0.2">
      <c r="A6" s="37" t="s">
        <v>27</v>
      </c>
      <c r="B6" s="398"/>
      <c r="C6" s="398"/>
      <c r="D6" s="398"/>
      <c r="E6" s="397"/>
    </row>
    <row r="7" spans="1:5" x14ac:dyDescent="0.2">
      <c r="A7" s="37" t="s">
        <v>28</v>
      </c>
      <c r="B7" s="398"/>
      <c r="C7" s="398"/>
      <c r="D7" s="398"/>
      <c r="E7" s="397"/>
    </row>
    <row r="8" spans="1:5" x14ac:dyDescent="0.2">
      <c r="A8" s="394" t="s">
        <v>1082</v>
      </c>
      <c r="B8" s="398"/>
      <c r="C8" s="398"/>
      <c r="D8" s="398"/>
      <c r="E8" s="397" t="s">
        <v>1083</v>
      </c>
    </row>
    <row r="9" spans="1:5" x14ac:dyDescent="0.2">
      <c r="A9" s="394" t="s">
        <v>1077</v>
      </c>
      <c r="B9" s="398"/>
      <c r="C9" s="398"/>
      <c r="D9" s="398"/>
    </row>
    <row r="10" spans="1:5" x14ac:dyDescent="0.2">
      <c r="A10" s="394"/>
      <c r="B10" s="398" t="s">
        <v>1075</v>
      </c>
      <c r="C10" s="398"/>
      <c r="D10" s="398"/>
    </row>
    <row r="11" spans="1:5" x14ac:dyDescent="0.2">
      <c r="A11" s="394" t="s">
        <v>1084</v>
      </c>
      <c r="B11" s="410" t="s">
        <v>1085</v>
      </c>
      <c r="C11" s="411"/>
      <c r="D11" s="412"/>
    </row>
    <row r="12" spans="1:5" x14ac:dyDescent="0.2">
      <c r="A12" s="394"/>
      <c r="B12" s="408"/>
      <c r="C12" s="409"/>
      <c r="D12" s="409"/>
      <c r="E12" s="399"/>
    </row>
    <row r="13" spans="1:5" x14ac:dyDescent="0.2">
      <c r="A13" s="37" t="s">
        <v>1074</v>
      </c>
      <c r="B13" s="400"/>
      <c r="C13" s="401"/>
      <c r="D13" s="401"/>
      <c r="E13" s="402"/>
    </row>
    <row r="28" spans="1:5" x14ac:dyDescent="0.2">
      <c r="A28" s="403"/>
      <c r="B28" s="289" t="s">
        <v>24</v>
      </c>
      <c r="C28" s="289"/>
      <c r="D28" s="289"/>
      <c r="E28" s="255" t="s">
        <v>42</v>
      </c>
    </row>
    <row r="29" spans="1:5" ht="63.75" x14ac:dyDescent="0.2">
      <c r="A29" s="254" t="s">
        <v>1076</v>
      </c>
      <c r="B29" s="256" t="s">
        <v>1081</v>
      </c>
      <c r="C29" s="256" t="s">
        <v>1079</v>
      </c>
      <c r="D29" s="256" t="s">
        <v>1080</v>
      </c>
      <c r="E29" s="256" t="s">
        <v>1078</v>
      </c>
    </row>
    <row r="30" spans="1:5" x14ac:dyDescent="0.2">
      <c r="A30" s="404"/>
      <c r="B30" s="253"/>
      <c r="C30" s="253"/>
      <c r="D30" s="405"/>
      <c r="E30" s="406" t="e">
        <f>D30*$B$10/1000</f>
        <v>#VALUE!</v>
      </c>
    </row>
    <row r="31" spans="1:5" x14ac:dyDescent="0.2">
      <c r="A31" s="407"/>
      <c r="B31" s="253"/>
      <c r="C31" s="253"/>
      <c r="D31" s="405"/>
      <c r="E31" s="406" t="e">
        <f>D31*$B$10/1000</f>
        <v>#VALUE!</v>
      </c>
    </row>
    <row r="32" spans="1:5" x14ac:dyDescent="0.2">
      <c r="A32" s="407"/>
      <c r="B32" s="253"/>
      <c r="C32" s="253"/>
      <c r="D32" s="405"/>
      <c r="E32" s="406" t="e">
        <f>D32*$B$10/1000</f>
        <v>#VALUE!</v>
      </c>
    </row>
    <row r="33" spans="1:5" x14ac:dyDescent="0.2">
      <c r="A33" s="407"/>
      <c r="B33" s="253"/>
      <c r="C33" s="253"/>
      <c r="D33" s="405"/>
      <c r="E33" s="406" t="e">
        <f>D33*$B$10/1000</f>
        <v>#VALUE!</v>
      </c>
    </row>
    <row r="34" spans="1:5" x14ac:dyDescent="0.2">
      <c r="A34" s="407"/>
      <c r="B34" s="253"/>
      <c r="C34" s="253"/>
      <c r="D34" s="405"/>
      <c r="E34" s="406" t="e">
        <f>D34*$B$10/1000</f>
        <v>#VALUE!</v>
      </c>
    </row>
    <row r="35" spans="1:5" x14ac:dyDescent="0.2">
      <c r="A35" s="407"/>
      <c r="B35" s="253"/>
      <c r="C35" s="253"/>
      <c r="D35" s="405"/>
      <c r="E35" s="406" t="e">
        <f>D35*$B$10/1000</f>
        <v>#VALUE!</v>
      </c>
    </row>
    <row r="36" spans="1:5" x14ac:dyDescent="0.2">
      <c r="A36" s="407"/>
      <c r="B36" s="253"/>
      <c r="C36" s="253"/>
      <c r="D36" s="405"/>
      <c r="E36" s="406" t="e">
        <f>D36*$B$10/1000</f>
        <v>#VALUE!</v>
      </c>
    </row>
    <row r="37" spans="1:5" x14ac:dyDescent="0.2">
      <c r="A37" s="407"/>
      <c r="B37" s="253"/>
      <c r="C37" s="253"/>
      <c r="D37" s="405"/>
      <c r="E37" s="406" t="e">
        <f>D37*$B$10/1000</f>
        <v>#VALUE!</v>
      </c>
    </row>
    <row r="38" spans="1:5" x14ac:dyDescent="0.2">
      <c r="A38" s="407"/>
      <c r="B38" s="253"/>
      <c r="C38" s="253"/>
      <c r="D38" s="405"/>
      <c r="E38" s="406" t="e">
        <f>D38*$B$10/1000</f>
        <v>#VALUE!</v>
      </c>
    </row>
    <row r="39" spans="1:5" x14ac:dyDescent="0.2">
      <c r="A39" s="407"/>
      <c r="B39" s="253"/>
      <c r="C39" s="253"/>
      <c r="D39" s="405"/>
      <c r="E39" s="406" t="e">
        <f>D39*$B$10</f>
        <v>#VALUE!</v>
      </c>
    </row>
    <row r="40" spans="1:5" x14ac:dyDescent="0.2">
      <c r="A40" s="407"/>
      <c r="B40" s="253"/>
      <c r="C40" s="253"/>
      <c r="D40" s="405"/>
      <c r="E40" s="406" t="e">
        <f>D40*$B$10</f>
        <v>#VALUE!</v>
      </c>
    </row>
    <row r="41" spans="1:5" x14ac:dyDescent="0.2">
      <c r="A41" s="407"/>
      <c r="B41" s="253"/>
      <c r="C41" s="253"/>
      <c r="D41" s="405"/>
      <c r="E41" s="406" t="e">
        <f>D41*$B$10</f>
        <v>#VALUE!</v>
      </c>
    </row>
    <row r="42" spans="1:5" x14ac:dyDescent="0.2">
      <c r="A42" s="404"/>
      <c r="B42" s="253"/>
      <c r="C42" s="253"/>
      <c r="D42" s="405"/>
      <c r="E42" s="406" t="e">
        <f>D42*$B$10</f>
        <v>#VALUE!</v>
      </c>
    </row>
    <row r="43" spans="1:5" x14ac:dyDescent="0.2">
      <c r="A43" s="407"/>
      <c r="B43" s="253"/>
      <c r="C43" s="253"/>
      <c r="D43" s="405"/>
      <c r="E43" s="406" t="e">
        <f>D43*$B$10</f>
        <v>#VALUE!</v>
      </c>
    </row>
    <row r="44" spans="1:5" x14ac:dyDescent="0.2">
      <c r="A44" s="407"/>
      <c r="B44" s="253"/>
      <c r="C44" s="253"/>
      <c r="D44" s="405"/>
      <c r="E44" s="406" t="e">
        <f>D44*$B$10</f>
        <v>#VALUE!</v>
      </c>
    </row>
    <row r="45" spans="1:5" x14ac:dyDescent="0.2">
      <c r="A45" s="407"/>
      <c r="B45" s="253"/>
      <c r="C45" s="253"/>
      <c r="D45" s="405"/>
      <c r="E45" s="406" t="e">
        <f>D45*$B$10</f>
        <v>#VALUE!</v>
      </c>
    </row>
    <row r="46" spans="1:5" x14ac:dyDescent="0.2">
      <c r="A46" s="407"/>
      <c r="B46" s="253"/>
      <c r="C46" s="253"/>
      <c r="D46" s="405"/>
      <c r="E46" s="406" t="e">
        <f>D46*$B$10</f>
        <v>#VALUE!</v>
      </c>
    </row>
  </sheetData>
  <mergeCells count="13">
    <mergeCell ref="B28:D28"/>
    <mergeCell ref="B11:D11"/>
    <mergeCell ref="B12:D12"/>
    <mergeCell ref="B2:D2"/>
    <mergeCell ref="B3:D3"/>
    <mergeCell ref="B4:D4"/>
    <mergeCell ref="B5:D5"/>
    <mergeCell ref="B6:D6"/>
    <mergeCell ref="B9:D9"/>
    <mergeCell ref="B10:D10"/>
    <mergeCell ref="B13:D13"/>
    <mergeCell ref="B7:D7"/>
    <mergeCell ref="B8:D8"/>
  </mergeCells>
  <conditionalFormatting sqref="A30:A32 A34:A46">
    <cfRule type="cellIs" dxfId="9" priority="1" stopIfTrue="1" operator="notEqual">
      <formula>A29</formula>
    </cfRule>
  </conditionalFormatting>
  <conditionalFormatting sqref="A33">
    <cfRule type="cellIs" dxfId="8" priority="2" stopIfTrue="1" operator="notEqual">
      <formula>#REF!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AG50"/>
  <sheetViews>
    <sheetView workbookViewId="0"/>
  </sheetViews>
  <sheetFormatPr baseColWidth="10" defaultRowHeight="12.75" x14ac:dyDescent="0.2"/>
  <sheetData>
    <row r="1" spans="1:33" x14ac:dyDescent="0.2">
      <c r="A1" s="64"/>
      <c r="B1" s="65"/>
      <c r="C1" s="66"/>
      <c r="D1" s="65"/>
      <c r="E1" s="66"/>
      <c r="F1" s="65"/>
      <c r="G1" s="65"/>
      <c r="H1" s="65"/>
      <c r="I1" s="65"/>
      <c r="J1" s="65"/>
      <c r="K1" s="65"/>
      <c r="L1" s="65"/>
      <c r="M1" s="65"/>
      <c r="N1" s="65"/>
      <c r="O1" s="66"/>
      <c r="P1" s="65"/>
      <c r="Q1" s="67"/>
      <c r="R1" s="68"/>
      <c r="S1" s="6"/>
      <c r="X1" s="7"/>
      <c r="AG1" s="6"/>
    </row>
    <row r="2" spans="1:33" x14ac:dyDescent="0.2">
      <c r="A2" s="69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70"/>
    </row>
    <row r="3" spans="1:33" x14ac:dyDescent="0.2">
      <c r="A3" s="69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70"/>
    </row>
    <row r="4" spans="1:33" x14ac:dyDescent="0.2">
      <c r="A4" s="69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70"/>
    </row>
    <row r="5" spans="1:33" x14ac:dyDescent="0.2">
      <c r="A5" s="69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70"/>
    </row>
    <row r="6" spans="1:33" x14ac:dyDescent="0.2">
      <c r="A6" s="69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70"/>
    </row>
    <row r="7" spans="1:33" x14ac:dyDescent="0.2">
      <c r="A7" s="6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70"/>
    </row>
    <row r="8" spans="1:33" x14ac:dyDescent="0.2">
      <c r="A8" s="69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70"/>
    </row>
    <row r="9" spans="1:33" x14ac:dyDescent="0.2">
      <c r="A9" s="69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70"/>
    </row>
    <row r="10" spans="1:33" x14ac:dyDescent="0.2">
      <c r="A10" s="69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70"/>
    </row>
    <row r="11" spans="1:33" x14ac:dyDescent="0.2">
      <c r="A11" s="69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70"/>
    </row>
    <row r="12" spans="1:33" x14ac:dyDescent="0.2">
      <c r="A12" s="69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70"/>
    </row>
    <row r="13" spans="1:33" x14ac:dyDescent="0.2">
      <c r="A13" s="69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70"/>
    </row>
    <row r="14" spans="1:33" x14ac:dyDescent="0.2">
      <c r="A14" s="69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70"/>
    </row>
    <row r="15" spans="1:33" x14ac:dyDescent="0.2">
      <c r="A15" s="69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70"/>
    </row>
    <row r="16" spans="1:33" x14ac:dyDescent="0.2">
      <c r="A16" s="69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70"/>
    </row>
    <row r="17" spans="1:18" x14ac:dyDescent="0.2">
      <c r="A17" s="69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70"/>
    </row>
    <row r="18" spans="1:18" x14ac:dyDescent="0.2">
      <c r="A18" s="69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70"/>
    </row>
    <row r="19" spans="1:18" x14ac:dyDescent="0.2">
      <c r="A19" s="69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70"/>
    </row>
    <row r="20" spans="1:18" x14ac:dyDescent="0.2">
      <c r="A20" s="69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70"/>
    </row>
    <row r="21" spans="1:18" x14ac:dyDescent="0.2">
      <c r="A21" s="69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70"/>
    </row>
    <row r="22" spans="1:18" x14ac:dyDescent="0.2">
      <c r="A22" s="69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70"/>
    </row>
    <row r="23" spans="1:18" x14ac:dyDescent="0.2">
      <c r="A23" s="69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70"/>
    </row>
    <row r="24" spans="1:18" x14ac:dyDescent="0.2">
      <c r="A24" s="69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70"/>
    </row>
    <row r="25" spans="1:18" ht="13.5" thickBot="1" x14ac:dyDescent="0.25">
      <c r="A25" s="71"/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3"/>
    </row>
    <row r="26" spans="1:18" x14ac:dyDescent="0.2">
      <c r="A26" s="74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8"/>
    </row>
    <row r="27" spans="1:18" x14ac:dyDescent="0.2">
      <c r="A27" s="69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70"/>
    </row>
    <row r="28" spans="1:18" x14ac:dyDescent="0.2">
      <c r="A28" s="69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70"/>
    </row>
    <row r="29" spans="1:18" x14ac:dyDescent="0.2">
      <c r="A29" s="69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70"/>
    </row>
    <row r="30" spans="1:18" x14ac:dyDescent="0.2">
      <c r="A30" s="69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70"/>
    </row>
    <row r="31" spans="1:18" x14ac:dyDescent="0.2">
      <c r="A31" s="69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70"/>
    </row>
    <row r="32" spans="1:18" x14ac:dyDescent="0.2">
      <c r="A32" s="69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70"/>
    </row>
    <row r="33" spans="1:18" x14ac:dyDescent="0.2">
      <c r="A33" s="69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70"/>
    </row>
    <row r="34" spans="1:18" x14ac:dyDescent="0.2">
      <c r="A34" s="69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70"/>
    </row>
    <row r="35" spans="1:18" x14ac:dyDescent="0.2">
      <c r="A35" s="69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70"/>
    </row>
    <row r="36" spans="1:18" x14ac:dyDescent="0.2">
      <c r="A36" s="69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70"/>
    </row>
    <row r="37" spans="1:18" x14ac:dyDescent="0.2">
      <c r="A37" s="69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70"/>
    </row>
    <row r="38" spans="1:18" x14ac:dyDescent="0.2">
      <c r="A38" s="69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70"/>
    </row>
    <row r="39" spans="1:18" x14ac:dyDescent="0.2">
      <c r="A39" s="69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70"/>
    </row>
    <row r="40" spans="1:18" x14ac:dyDescent="0.2">
      <c r="A40" s="69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70"/>
    </row>
    <row r="41" spans="1:18" x14ac:dyDescent="0.2">
      <c r="A41" s="69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70"/>
    </row>
    <row r="42" spans="1:18" x14ac:dyDescent="0.2">
      <c r="A42" s="69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70"/>
    </row>
    <row r="43" spans="1:18" x14ac:dyDescent="0.2">
      <c r="A43" s="69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70"/>
    </row>
    <row r="44" spans="1:18" x14ac:dyDescent="0.2">
      <c r="A44" s="69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70"/>
    </row>
    <row r="45" spans="1:18" x14ac:dyDescent="0.2">
      <c r="A45" s="69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70"/>
    </row>
    <row r="46" spans="1:18" x14ac:dyDescent="0.2">
      <c r="A46" s="69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70"/>
    </row>
    <row r="47" spans="1:18" x14ac:dyDescent="0.2">
      <c r="A47" s="69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70"/>
    </row>
    <row r="48" spans="1:18" x14ac:dyDescent="0.2">
      <c r="A48" s="69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70"/>
    </row>
    <row r="49" spans="1:18" x14ac:dyDescent="0.2">
      <c r="A49" s="69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70"/>
    </row>
    <row r="50" spans="1:18" ht="13.5" thickBot="1" x14ac:dyDescent="0.25">
      <c r="A50" s="71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3"/>
    </row>
  </sheetData>
  <conditionalFormatting sqref="K1">
    <cfRule type="expression" dxfId="7" priority="1" stopIfTrue="1">
      <formula>R1=1</formula>
    </cfRule>
    <cfRule type="expression" dxfId="6" priority="2" stopIfTrue="1">
      <formula>R1=0</formula>
    </cfRule>
  </conditionalFormatting>
  <conditionalFormatting sqref="L1">
    <cfRule type="cellIs" dxfId="5" priority="3" stopIfTrue="1" operator="equal">
      <formula>"JA"</formula>
    </cfRule>
    <cfRule type="cellIs" dxfId="4" priority="4" stopIfTrue="1" operator="equal">
      <formula>"NEI"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AG31"/>
  <sheetViews>
    <sheetView workbookViewId="0"/>
  </sheetViews>
  <sheetFormatPr baseColWidth="10" defaultRowHeight="12.75" x14ac:dyDescent="0.2"/>
  <sheetData>
    <row r="1" spans="1:33" x14ac:dyDescent="0.2">
      <c r="A1" s="64"/>
      <c r="B1" s="65"/>
      <c r="C1" s="66"/>
      <c r="D1" s="65"/>
      <c r="E1" s="66"/>
      <c r="F1" s="65"/>
      <c r="G1" s="65"/>
      <c r="H1" s="65"/>
      <c r="I1" s="65"/>
      <c r="J1" s="65"/>
      <c r="K1" s="65"/>
      <c r="L1" s="65"/>
      <c r="M1" s="65"/>
      <c r="N1" s="65"/>
      <c r="O1" s="66"/>
      <c r="P1" s="65"/>
      <c r="Q1" s="67"/>
      <c r="R1" s="68"/>
      <c r="S1" s="6"/>
      <c r="X1" s="7"/>
      <c r="AG1" s="6"/>
    </row>
    <row r="2" spans="1:33" x14ac:dyDescent="0.2">
      <c r="A2" s="69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70"/>
    </row>
    <row r="3" spans="1:33" x14ac:dyDescent="0.2">
      <c r="A3" s="69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70"/>
    </row>
    <row r="4" spans="1:33" x14ac:dyDescent="0.2">
      <c r="A4" s="69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70"/>
    </row>
    <row r="5" spans="1:33" x14ac:dyDescent="0.2">
      <c r="A5" s="69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70"/>
    </row>
    <row r="6" spans="1:33" x14ac:dyDescent="0.2">
      <c r="A6" s="69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70"/>
    </row>
    <row r="7" spans="1:33" x14ac:dyDescent="0.2">
      <c r="A7" s="6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70"/>
    </row>
    <row r="8" spans="1:33" x14ac:dyDescent="0.2">
      <c r="A8" s="69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70"/>
    </row>
    <row r="9" spans="1:33" x14ac:dyDescent="0.2">
      <c r="A9" s="69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70"/>
    </row>
    <row r="10" spans="1:33" x14ac:dyDescent="0.2">
      <c r="A10" s="69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70"/>
    </row>
    <row r="11" spans="1:33" x14ac:dyDescent="0.2">
      <c r="A11" s="69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70"/>
    </row>
    <row r="12" spans="1:33" x14ac:dyDescent="0.2">
      <c r="A12" s="69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70"/>
    </row>
    <row r="13" spans="1:33" x14ac:dyDescent="0.2">
      <c r="A13" s="69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70"/>
    </row>
    <row r="14" spans="1:33" x14ac:dyDescent="0.2">
      <c r="A14" s="69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70"/>
    </row>
    <row r="15" spans="1:33" x14ac:dyDescent="0.2">
      <c r="A15" s="69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70"/>
    </row>
    <row r="16" spans="1:33" x14ac:dyDescent="0.2">
      <c r="A16" s="69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70"/>
    </row>
    <row r="17" spans="1:18" x14ac:dyDescent="0.2">
      <c r="A17" s="69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70"/>
    </row>
    <row r="18" spans="1:18" ht="13.5" thickBot="1" x14ac:dyDescent="0.25">
      <c r="A18" s="71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3"/>
    </row>
    <row r="19" spans="1:18" x14ac:dyDescent="0.2">
      <c r="A19" s="74"/>
      <c r="B19" s="65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8"/>
    </row>
    <row r="20" spans="1:18" x14ac:dyDescent="0.2">
      <c r="A20" s="69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70"/>
    </row>
    <row r="21" spans="1:18" x14ac:dyDescent="0.2">
      <c r="A21" s="69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70"/>
    </row>
    <row r="22" spans="1:18" x14ac:dyDescent="0.2">
      <c r="A22" s="69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70"/>
    </row>
    <row r="23" spans="1:18" x14ac:dyDescent="0.2">
      <c r="A23" s="69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70"/>
    </row>
    <row r="24" spans="1:18" x14ac:dyDescent="0.2">
      <c r="A24" s="69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70"/>
    </row>
    <row r="25" spans="1:18" x14ac:dyDescent="0.2">
      <c r="A25" s="69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70"/>
    </row>
    <row r="26" spans="1:18" x14ac:dyDescent="0.2">
      <c r="A26" s="69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70"/>
    </row>
    <row r="27" spans="1:18" x14ac:dyDescent="0.2">
      <c r="A27" s="69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70"/>
    </row>
    <row r="28" spans="1:18" x14ac:dyDescent="0.2">
      <c r="A28" s="69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70"/>
    </row>
    <row r="29" spans="1:18" x14ac:dyDescent="0.2">
      <c r="A29" s="69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70"/>
    </row>
    <row r="30" spans="1:18" x14ac:dyDescent="0.2">
      <c r="A30" s="69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70"/>
    </row>
    <row r="31" spans="1:18" ht="13.5" thickBot="1" x14ac:dyDescent="0.25">
      <c r="A31" s="71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3"/>
    </row>
  </sheetData>
  <conditionalFormatting sqref="K1">
    <cfRule type="expression" dxfId="3" priority="1" stopIfTrue="1">
      <formula>R1=1</formula>
    </cfRule>
    <cfRule type="expression" dxfId="2" priority="2" stopIfTrue="1">
      <formula>R1=0</formula>
    </cfRule>
  </conditionalFormatting>
  <conditionalFormatting sqref="L1">
    <cfRule type="cellIs" dxfId="1" priority="3" stopIfTrue="1" operator="equal">
      <formula>"JA"</formula>
    </cfRule>
    <cfRule type="cellIs" dxfId="0" priority="4" stopIfTrue="1" operator="equal">
      <formula>"NEI"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T636"/>
  <sheetViews>
    <sheetView workbookViewId="0"/>
  </sheetViews>
  <sheetFormatPr baseColWidth="10" defaultRowHeight="12.75" x14ac:dyDescent="0.2"/>
  <cols>
    <col min="2" max="2" width="14.28515625" bestFit="1" customWidth="1"/>
    <col min="3" max="3" width="10.42578125" bestFit="1" customWidth="1"/>
    <col min="4" max="4" width="24" bestFit="1" customWidth="1"/>
    <col min="5" max="5" width="12.7109375" style="159" customWidth="1"/>
    <col min="6" max="6" width="13.7109375" customWidth="1"/>
    <col min="7" max="7" width="14.42578125" bestFit="1" customWidth="1"/>
    <col min="8" max="8" width="10.42578125" bestFit="1" customWidth="1"/>
    <col min="9" max="9" width="13.28515625" customWidth="1"/>
    <col min="10" max="10" width="10.42578125" bestFit="1" customWidth="1"/>
    <col min="11" max="11" width="16.140625" customWidth="1"/>
    <col min="12" max="12" width="14.7109375" customWidth="1"/>
    <col min="14" max="16" width="11.42578125" style="207" customWidth="1"/>
    <col min="17" max="17" width="11.42578125" style="208" customWidth="1"/>
    <col min="18" max="20" width="11.42578125" style="207" customWidth="1"/>
  </cols>
  <sheetData>
    <row r="1" spans="1:20" ht="15.75" x14ac:dyDescent="0.25">
      <c r="A1" s="112"/>
      <c r="B1" s="114"/>
      <c r="C1" s="115"/>
      <c r="D1" s="113"/>
      <c r="E1" s="150"/>
      <c r="F1" s="111"/>
      <c r="G1" s="111"/>
      <c r="H1" s="111"/>
      <c r="I1" s="111"/>
      <c r="J1" s="111"/>
      <c r="K1" s="111"/>
      <c r="L1" s="111"/>
      <c r="N1" s="384" t="s">
        <v>130</v>
      </c>
      <c r="O1" s="384"/>
      <c r="P1" s="206"/>
      <c r="Q1" s="206"/>
      <c r="R1" s="384" t="s">
        <v>131</v>
      </c>
      <c r="S1" s="384"/>
      <c r="T1" s="206"/>
    </row>
    <row r="2" spans="1:20" ht="15.75" x14ac:dyDescent="0.25">
      <c r="A2" s="111"/>
      <c r="B2" s="385" t="s">
        <v>67</v>
      </c>
      <c r="C2" s="386"/>
      <c r="D2" s="116"/>
      <c r="E2" s="151"/>
      <c r="F2" s="5"/>
      <c r="G2" s="5"/>
      <c r="H2" s="5"/>
      <c r="I2" s="5"/>
      <c r="J2" s="5"/>
      <c r="K2" s="5"/>
      <c r="L2" s="5"/>
      <c r="N2" s="207" t="str">
        <f>C14</f>
        <v>kV</v>
      </c>
      <c r="O2" s="207" t="str">
        <f>G14</f>
        <v>k_q</v>
      </c>
      <c r="P2" s="207" t="str">
        <f>I14</f>
        <v>Transmisjons-faktor (T)</v>
      </c>
      <c r="R2" s="207" t="s">
        <v>106</v>
      </c>
      <c r="S2" s="207" t="str">
        <f>G14</f>
        <v>k_q</v>
      </c>
      <c r="T2" s="207" t="str">
        <f>I14</f>
        <v>Transmisjons-faktor (T)</v>
      </c>
    </row>
    <row r="3" spans="1:20" ht="15.75" x14ac:dyDescent="0.25">
      <c r="A3" s="111"/>
      <c r="B3" s="117" t="s">
        <v>68</v>
      </c>
      <c r="C3" s="118" t="s">
        <v>69</v>
      </c>
      <c r="D3" s="116" t="s">
        <v>70</v>
      </c>
      <c r="E3" s="151"/>
      <c r="F3" s="5"/>
      <c r="G3" s="5"/>
      <c r="H3" s="5"/>
      <c r="I3" s="5"/>
      <c r="J3" s="5"/>
      <c r="K3" s="5"/>
      <c r="L3" s="5"/>
      <c r="N3" s="207">
        <f>C15</f>
        <v>40</v>
      </c>
      <c r="O3" s="209">
        <f>G15</f>
        <v>1.17</v>
      </c>
      <c r="P3" s="209">
        <f>I15</f>
        <v>0.84</v>
      </c>
      <c r="Q3" s="210"/>
      <c r="R3" s="207">
        <f t="shared" ref="R3:R66" si="0">R4-0.01</f>
        <v>0.31999999999999895</v>
      </c>
      <c r="S3" s="211">
        <f t="shared" ref="S3:S66" si="1">$V$115*R3+$V$116</f>
        <v>0</v>
      </c>
      <c r="T3" s="211">
        <f t="shared" ref="T3:T67" si="2">$W$115*R3+$W$116</f>
        <v>0</v>
      </c>
    </row>
    <row r="4" spans="1:20" ht="15.75" x14ac:dyDescent="0.25">
      <c r="A4" s="111"/>
      <c r="B4" s="117" t="s">
        <v>71</v>
      </c>
      <c r="C4" s="118">
        <v>70157</v>
      </c>
      <c r="D4" s="116"/>
      <c r="E4" s="151"/>
      <c r="F4" s="5"/>
      <c r="G4" s="5"/>
      <c r="H4" s="5"/>
      <c r="I4" s="5"/>
      <c r="J4" s="5"/>
      <c r="K4" s="5"/>
      <c r="L4" s="5"/>
      <c r="N4" s="207">
        <f>N3+1</f>
        <v>41</v>
      </c>
      <c r="O4" s="211">
        <f>O3+((O$33-O$3)/ROWS($N$4:$N$33))</f>
        <v>1.1643333333333332</v>
      </c>
      <c r="P4" s="211">
        <f>P3+((P$33-P$3)/ROWS($N$4:$N$33))</f>
        <v>0.84099999999999997</v>
      </c>
      <c r="Q4" s="210"/>
      <c r="R4" s="207">
        <f t="shared" si="0"/>
        <v>0.32999999999999896</v>
      </c>
      <c r="S4" s="211">
        <f t="shared" si="1"/>
        <v>0</v>
      </c>
      <c r="T4" s="211">
        <f t="shared" si="2"/>
        <v>0</v>
      </c>
    </row>
    <row r="5" spans="1:20" ht="15.75" x14ac:dyDescent="0.25">
      <c r="A5" s="111"/>
      <c r="B5" s="117" t="s">
        <v>72</v>
      </c>
      <c r="C5" s="119" t="s">
        <v>73</v>
      </c>
      <c r="D5" s="116"/>
      <c r="E5" s="151"/>
      <c r="F5" s="5"/>
      <c r="G5" s="5"/>
      <c r="H5" s="5"/>
      <c r="I5" s="5"/>
      <c r="J5" s="5"/>
      <c r="K5" s="5"/>
      <c r="L5" s="5"/>
      <c r="N5" s="207">
        <f t="shared" ref="N5:N68" si="3">N4+1</f>
        <v>42</v>
      </c>
      <c r="O5" s="211">
        <f t="shared" ref="O5:P20" si="4">O4+((O$33-O$3)/ROWS($N$4:$N$33))</f>
        <v>1.1586666666666665</v>
      </c>
      <c r="P5" s="211">
        <f t="shared" si="4"/>
        <v>0.84199999999999997</v>
      </c>
      <c r="Q5" s="210"/>
      <c r="R5" s="207">
        <f t="shared" si="0"/>
        <v>0.33999999999999897</v>
      </c>
      <c r="S5" s="211">
        <f t="shared" si="1"/>
        <v>0</v>
      </c>
      <c r="T5" s="211">
        <f t="shared" si="2"/>
        <v>0</v>
      </c>
    </row>
    <row r="6" spans="1:20" ht="16.5" thickBot="1" x14ac:dyDescent="0.3">
      <c r="A6" s="111"/>
      <c r="B6" s="120" t="s">
        <v>74</v>
      </c>
      <c r="C6" s="121">
        <v>40925</v>
      </c>
      <c r="D6" s="116"/>
      <c r="E6" s="151"/>
      <c r="F6" s="5"/>
      <c r="G6" s="5"/>
      <c r="H6" s="5"/>
      <c r="I6" s="5"/>
      <c r="J6" s="5"/>
      <c r="K6" s="5"/>
      <c r="L6" s="5"/>
      <c r="N6" s="207">
        <f t="shared" si="3"/>
        <v>43</v>
      </c>
      <c r="O6" s="211">
        <f t="shared" si="4"/>
        <v>1.1529999999999998</v>
      </c>
      <c r="P6" s="211">
        <f t="shared" si="4"/>
        <v>0.84299999999999997</v>
      </c>
      <c r="Q6" s="210"/>
      <c r="R6" s="207">
        <f t="shared" si="0"/>
        <v>0.34999999999999898</v>
      </c>
      <c r="S6" s="211">
        <f t="shared" si="1"/>
        <v>0</v>
      </c>
      <c r="T6" s="211">
        <f t="shared" si="2"/>
        <v>0</v>
      </c>
    </row>
    <row r="7" spans="1:20" ht="16.5" thickBot="1" x14ac:dyDescent="0.3">
      <c r="A7" s="111"/>
      <c r="B7" s="122"/>
      <c r="C7" s="123"/>
      <c r="D7" s="124"/>
      <c r="E7" s="152"/>
      <c r="F7" s="5"/>
      <c r="G7" s="5"/>
      <c r="H7" s="5"/>
      <c r="I7" s="5"/>
      <c r="J7" s="5"/>
      <c r="K7" s="5"/>
      <c r="L7" s="5"/>
      <c r="N7" s="207">
        <f t="shared" si="3"/>
        <v>44</v>
      </c>
      <c r="O7" s="211">
        <f t="shared" si="4"/>
        <v>1.1473333333333331</v>
      </c>
      <c r="P7" s="211">
        <f t="shared" si="4"/>
        <v>0.84399999999999997</v>
      </c>
      <c r="Q7" s="210"/>
      <c r="R7" s="207">
        <f t="shared" si="0"/>
        <v>0.35999999999999899</v>
      </c>
      <c r="S7" s="211">
        <f t="shared" si="1"/>
        <v>0</v>
      </c>
      <c r="T7" s="211">
        <f t="shared" si="2"/>
        <v>0</v>
      </c>
    </row>
    <row r="8" spans="1:20" ht="15.75" x14ac:dyDescent="0.25">
      <c r="A8" s="111"/>
      <c r="B8" s="382" t="s">
        <v>75</v>
      </c>
      <c r="C8" s="387"/>
      <c r="D8" s="388"/>
      <c r="E8" s="389"/>
      <c r="F8" s="5"/>
      <c r="G8" s="382" t="s">
        <v>76</v>
      </c>
      <c r="H8" s="383"/>
      <c r="I8" s="5"/>
      <c r="J8" s="5"/>
      <c r="K8" s="5"/>
      <c r="L8" s="5"/>
      <c r="N8" s="207">
        <f t="shared" si="3"/>
        <v>45</v>
      </c>
      <c r="O8" s="211">
        <f t="shared" si="4"/>
        <v>1.1416666666666664</v>
      </c>
      <c r="P8" s="211">
        <f t="shared" si="4"/>
        <v>0.84499999999999997</v>
      </c>
      <c r="Q8" s="210"/>
      <c r="R8" s="207">
        <f t="shared" si="0"/>
        <v>0.369999999999999</v>
      </c>
      <c r="S8" s="211">
        <f t="shared" si="1"/>
        <v>0</v>
      </c>
      <c r="T8" s="211">
        <f t="shared" si="2"/>
        <v>0</v>
      </c>
    </row>
    <row r="9" spans="1:20" ht="15.75" x14ac:dyDescent="0.25">
      <c r="A9" s="111"/>
      <c r="B9" s="390" t="s">
        <v>77</v>
      </c>
      <c r="C9" s="391"/>
      <c r="D9" s="391" t="s">
        <v>78</v>
      </c>
      <c r="E9" s="392"/>
      <c r="F9" s="5"/>
      <c r="G9" s="127" t="s">
        <v>98</v>
      </c>
      <c r="H9" s="128">
        <v>20</v>
      </c>
      <c r="I9" s="5"/>
      <c r="J9" s="5"/>
      <c r="K9" s="5"/>
      <c r="L9" s="5"/>
      <c r="N9" s="207">
        <f t="shared" si="3"/>
        <v>46</v>
      </c>
      <c r="O9" s="211">
        <f t="shared" si="4"/>
        <v>1.1359999999999997</v>
      </c>
      <c r="P9" s="211">
        <f t="shared" si="4"/>
        <v>0.84599999999999997</v>
      </c>
      <c r="Q9" s="210"/>
      <c r="R9" s="207">
        <f t="shared" si="0"/>
        <v>0.37999999999999901</v>
      </c>
      <c r="S9" s="211">
        <f t="shared" si="1"/>
        <v>0</v>
      </c>
      <c r="T9" s="211">
        <f t="shared" si="2"/>
        <v>0</v>
      </c>
    </row>
    <row r="10" spans="1:20" ht="15.75" x14ac:dyDescent="0.25">
      <c r="A10" s="111"/>
      <c r="B10" s="125" t="s">
        <v>79</v>
      </c>
      <c r="C10" s="126" t="s">
        <v>80</v>
      </c>
      <c r="D10" s="126" t="s">
        <v>79</v>
      </c>
      <c r="E10" s="153" t="s">
        <v>80</v>
      </c>
      <c r="F10" s="5"/>
      <c r="G10" s="127" t="s">
        <v>81</v>
      </c>
      <c r="H10" s="128">
        <v>101.325</v>
      </c>
      <c r="I10" s="5"/>
      <c r="J10" s="5"/>
      <c r="K10" s="5"/>
      <c r="L10" s="5"/>
      <c r="N10" s="207">
        <f t="shared" si="3"/>
        <v>47</v>
      </c>
      <c r="O10" s="211">
        <f t="shared" si="4"/>
        <v>1.130333333333333</v>
      </c>
      <c r="P10" s="211">
        <f t="shared" si="4"/>
        <v>0.84699999999999998</v>
      </c>
      <c r="Q10" s="210"/>
      <c r="R10" s="207">
        <f t="shared" si="0"/>
        <v>0.38999999999999901</v>
      </c>
      <c r="S10" s="211">
        <f t="shared" si="1"/>
        <v>0</v>
      </c>
      <c r="T10" s="211">
        <f t="shared" si="2"/>
        <v>0</v>
      </c>
    </row>
    <row r="11" spans="1:20" ht="16.5" thickBot="1" x14ac:dyDescent="0.3">
      <c r="A11" s="111"/>
      <c r="B11" s="129">
        <v>1.1399999999999999</v>
      </c>
      <c r="C11" s="130">
        <v>0.04</v>
      </c>
      <c r="D11" s="131">
        <v>1</v>
      </c>
      <c r="E11" s="154">
        <v>0.08</v>
      </c>
      <c r="F11" s="5"/>
      <c r="G11" s="132" t="s">
        <v>82</v>
      </c>
      <c r="H11" s="133">
        <v>50</v>
      </c>
      <c r="I11" s="5"/>
      <c r="J11" s="5"/>
      <c r="K11" s="5"/>
      <c r="L11" s="5"/>
      <c r="N11" s="207">
        <f t="shared" si="3"/>
        <v>48</v>
      </c>
      <c r="O11" s="211">
        <f t="shared" si="4"/>
        <v>1.1246666666666663</v>
      </c>
      <c r="P11" s="211">
        <f t="shared" si="4"/>
        <v>0.84799999999999998</v>
      </c>
      <c r="Q11" s="210"/>
      <c r="R11" s="207">
        <f t="shared" si="0"/>
        <v>0.39999999999999902</v>
      </c>
      <c r="S11" s="211">
        <f t="shared" si="1"/>
        <v>0</v>
      </c>
      <c r="T11" s="211">
        <f t="shared" si="2"/>
        <v>0</v>
      </c>
    </row>
    <row r="12" spans="1:20" ht="16.5" thickBot="1" x14ac:dyDescent="0.3">
      <c r="A12" s="111"/>
      <c r="B12" s="5"/>
      <c r="C12" s="5"/>
      <c r="D12" s="5"/>
      <c r="E12" s="155"/>
      <c r="F12" s="5"/>
      <c r="G12" s="5"/>
      <c r="H12" s="5"/>
      <c r="I12" s="5"/>
      <c r="J12" s="5"/>
      <c r="K12" s="5"/>
      <c r="L12" s="5"/>
      <c r="N12" s="207">
        <f t="shared" si="3"/>
        <v>49</v>
      </c>
      <c r="O12" s="211">
        <f t="shared" si="4"/>
        <v>1.1189999999999996</v>
      </c>
      <c r="P12" s="211">
        <f t="shared" si="4"/>
        <v>0.84899999999999998</v>
      </c>
      <c r="Q12" s="210"/>
      <c r="R12" s="207">
        <f t="shared" si="0"/>
        <v>0.40999999999999903</v>
      </c>
      <c r="S12" s="211">
        <f t="shared" si="1"/>
        <v>0</v>
      </c>
      <c r="T12" s="211">
        <f t="shared" si="2"/>
        <v>0</v>
      </c>
    </row>
    <row r="13" spans="1:20" ht="15.75" x14ac:dyDescent="0.25">
      <c r="A13" s="111"/>
      <c r="B13" s="382" t="s">
        <v>83</v>
      </c>
      <c r="C13" s="387"/>
      <c r="D13" s="387"/>
      <c r="E13" s="387"/>
      <c r="F13" s="387"/>
      <c r="G13" s="387"/>
      <c r="H13" s="387"/>
      <c r="I13" s="387"/>
      <c r="J13" s="393"/>
      <c r="K13" s="382" t="s">
        <v>84</v>
      </c>
      <c r="L13" s="383"/>
      <c r="N13" s="207">
        <f t="shared" si="3"/>
        <v>50</v>
      </c>
      <c r="O13" s="211">
        <f t="shared" si="4"/>
        <v>1.1133333333333328</v>
      </c>
      <c r="P13" s="211">
        <f t="shared" si="4"/>
        <v>0.85</v>
      </c>
      <c r="Q13" s="210"/>
      <c r="R13" s="207">
        <f t="shared" si="0"/>
        <v>0.41999999999999904</v>
      </c>
      <c r="S13" s="211">
        <f t="shared" si="1"/>
        <v>0</v>
      </c>
      <c r="T13" s="211">
        <f t="shared" si="2"/>
        <v>0</v>
      </c>
    </row>
    <row r="14" spans="1:20" ht="27" x14ac:dyDescent="0.25">
      <c r="A14" s="111"/>
      <c r="B14" s="134" t="s">
        <v>85</v>
      </c>
      <c r="C14" s="135" t="s">
        <v>35</v>
      </c>
      <c r="D14" s="18" t="s">
        <v>86</v>
      </c>
      <c r="E14" s="18" t="s">
        <v>87</v>
      </c>
      <c r="F14" s="18" t="s">
        <v>99</v>
      </c>
      <c r="G14" s="135" t="s">
        <v>88</v>
      </c>
      <c r="H14" s="18" t="s">
        <v>80</v>
      </c>
      <c r="I14" s="18" t="s">
        <v>89</v>
      </c>
      <c r="J14" s="136" t="s">
        <v>80</v>
      </c>
      <c r="K14" s="137" t="s">
        <v>90</v>
      </c>
      <c r="L14" s="138" t="s">
        <v>91</v>
      </c>
      <c r="N14" s="207">
        <f t="shared" si="3"/>
        <v>51</v>
      </c>
      <c r="O14" s="211">
        <f t="shared" si="4"/>
        <v>1.1076666666666661</v>
      </c>
      <c r="P14" s="211">
        <f t="shared" si="4"/>
        <v>0.85099999999999998</v>
      </c>
      <c r="Q14" s="210"/>
      <c r="R14" s="207">
        <f t="shared" si="0"/>
        <v>0.42999999999999905</v>
      </c>
      <c r="S14" s="211">
        <f t="shared" si="1"/>
        <v>0</v>
      </c>
      <c r="T14" s="211">
        <f t="shared" si="2"/>
        <v>0</v>
      </c>
    </row>
    <row r="15" spans="1:20" ht="15.75" x14ac:dyDescent="0.25">
      <c r="A15" s="111"/>
      <c r="B15" s="139" t="s">
        <v>92</v>
      </c>
      <c r="C15" s="140">
        <v>40</v>
      </c>
      <c r="D15" s="140">
        <v>2.5099999999999998</v>
      </c>
      <c r="E15" s="156">
        <v>1.42</v>
      </c>
      <c r="F15" s="140">
        <v>4.4000000000000004</v>
      </c>
      <c r="G15" s="140">
        <v>1.17</v>
      </c>
      <c r="H15" s="140">
        <v>0.06</v>
      </c>
      <c r="I15" s="140">
        <v>0.84</v>
      </c>
      <c r="J15" s="141">
        <v>0.06</v>
      </c>
      <c r="K15" s="142">
        <f>$B$11*G15</f>
        <v>1.3337999999999999</v>
      </c>
      <c r="L15" s="143">
        <f>K15*I15</f>
        <v>1.1203919999999998</v>
      </c>
      <c r="N15" s="207">
        <f t="shared" si="3"/>
        <v>52</v>
      </c>
      <c r="O15" s="211">
        <f t="shared" si="4"/>
        <v>1.1019999999999994</v>
      </c>
      <c r="P15" s="211">
        <f t="shared" si="4"/>
        <v>0.85199999999999998</v>
      </c>
      <c r="Q15" s="210"/>
      <c r="R15" s="207">
        <f t="shared" si="0"/>
        <v>0.43999999999999906</v>
      </c>
      <c r="S15" s="211">
        <f t="shared" si="1"/>
        <v>0</v>
      </c>
      <c r="T15" s="211">
        <f t="shared" si="2"/>
        <v>0</v>
      </c>
    </row>
    <row r="16" spans="1:20" ht="15.75" x14ac:dyDescent="0.25">
      <c r="A16" s="111"/>
      <c r="B16" s="139" t="s">
        <v>93</v>
      </c>
      <c r="C16" s="140">
        <v>70</v>
      </c>
      <c r="D16" s="140">
        <v>2.83</v>
      </c>
      <c r="E16" s="156">
        <v>2.5499999999999998</v>
      </c>
      <c r="F16" s="140">
        <v>17</v>
      </c>
      <c r="G16" s="140">
        <v>1</v>
      </c>
      <c r="H16" s="140" t="s">
        <v>94</v>
      </c>
      <c r="I16" s="140">
        <v>0.87</v>
      </c>
      <c r="J16" s="141">
        <v>0.04</v>
      </c>
      <c r="K16" s="142">
        <f>$B$11*G16</f>
        <v>1.1399999999999999</v>
      </c>
      <c r="L16" s="143">
        <f>K16*I16</f>
        <v>0.9917999999999999</v>
      </c>
      <c r="N16" s="207">
        <f t="shared" si="3"/>
        <v>53</v>
      </c>
      <c r="O16" s="211">
        <f t="shared" si="4"/>
        <v>1.0963333333333327</v>
      </c>
      <c r="P16" s="211">
        <f t="shared" si="4"/>
        <v>0.85299999999999998</v>
      </c>
      <c r="Q16" s="210"/>
      <c r="R16" s="207">
        <f t="shared" si="0"/>
        <v>0.44999999999999907</v>
      </c>
      <c r="S16" s="211">
        <f t="shared" si="1"/>
        <v>0</v>
      </c>
      <c r="T16" s="211">
        <f t="shared" si="2"/>
        <v>0</v>
      </c>
    </row>
    <row r="17" spans="1:20" ht="15.75" x14ac:dyDescent="0.25">
      <c r="A17" s="111"/>
      <c r="B17" s="139" t="s">
        <v>95</v>
      </c>
      <c r="C17" s="140">
        <v>100</v>
      </c>
      <c r="D17" s="140">
        <v>3.36</v>
      </c>
      <c r="E17" s="156">
        <v>4.03</v>
      </c>
      <c r="F17" s="140">
        <v>30</v>
      </c>
      <c r="G17" s="140">
        <v>0.98</v>
      </c>
      <c r="H17" s="140">
        <v>0.04</v>
      </c>
      <c r="I17" s="140">
        <v>0.89</v>
      </c>
      <c r="J17" s="141">
        <v>0.04</v>
      </c>
      <c r="K17" s="142">
        <f>$B$11*G17</f>
        <v>1.1172</v>
      </c>
      <c r="L17" s="143">
        <f>K17*I17</f>
        <v>0.99430799999999997</v>
      </c>
      <c r="N17" s="207">
        <f t="shared" si="3"/>
        <v>54</v>
      </c>
      <c r="O17" s="211">
        <f t="shared" si="4"/>
        <v>1.090666666666666</v>
      </c>
      <c r="P17" s="211">
        <f t="shared" si="4"/>
        <v>0.85399999999999998</v>
      </c>
      <c r="Q17" s="210"/>
      <c r="R17" s="207">
        <f t="shared" si="0"/>
        <v>0.45999999999999908</v>
      </c>
      <c r="S17" s="211">
        <f t="shared" si="1"/>
        <v>0</v>
      </c>
      <c r="T17" s="211">
        <f t="shared" si="2"/>
        <v>0</v>
      </c>
    </row>
    <row r="18" spans="1:20" ht="15.75" x14ac:dyDescent="0.25">
      <c r="A18" s="111"/>
      <c r="B18" s="139" t="s">
        <v>96</v>
      </c>
      <c r="C18" s="140">
        <v>120</v>
      </c>
      <c r="D18" s="140">
        <v>3.55</v>
      </c>
      <c r="E18" s="156">
        <v>4.95</v>
      </c>
      <c r="F18" s="140">
        <v>40</v>
      </c>
      <c r="G18" s="140">
        <v>0.99</v>
      </c>
      <c r="H18" s="140">
        <v>0.04</v>
      </c>
      <c r="I18" s="140">
        <v>0.9</v>
      </c>
      <c r="J18" s="141">
        <v>0.04</v>
      </c>
      <c r="K18" s="142">
        <f>$B$11*G18</f>
        <v>1.1285999999999998</v>
      </c>
      <c r="L18" s="143">
        <f>K18*I18</f>
        <v>1.0157399999999999</v>
      </c>
      <c r="N18" s="207">
        <f t="shared" si="3"/>
        <v>55</v>
      </c>
      <c r="O18" s="211">
        <f t="shared" si="4"/>
        <v>1.0849999999999993</v>
      </c>
      <c r="P18" s="211">
        <f t="shared" si="4"/>
        <v>0.85499999999999998</v>
      </c>
      <c r="Q18" s="210"/>
      <c r="R18" s="207">
        <f t="shared" si="0"/>
        <v>0.46999999999999909</v>
      </c>
      <c r="S18" s="211">
        <f t="shared" si="1"/>
        <v>0</v>
      </c>
      <c r="T18" s="211">
        <f t="shared" si="2"/>
        <v>0</v>
      </c>
    </row>
    <row r="19" spans="1:20" ht="16.5" thickBot="1" x14ac:dyDescent="0.3">
      <c r="A19" s="111"/>
      <c r="B19" s="144" t="s">
        <v>97</v>
      </c>
      <c r="C19" s="130">
        <v>150</v>
      </c>
      <c r="D19" s="130">
        <v>4.37</v>
      </c>
      <c r="E19" s="157">
        <v>6.65</v>
      </c>
      <c r="F19" s="130">
        <v>50</v>
      </c>
      <c r="G19" s="130">
        <v>1.01</v>
      </c>
      <c r="H19" s="130">
        <v>0.04</v>
      </c>
      <c r="I19" s="130">
        <v>0.9</v>
      </c>
      <c r="J19" s="145">
        <v>0.04</v>
      </c>
      <c r="K19" s="146">
        <f>$B$11*G19</f>
        <v>1.1514</v>
      </c>
      <c r="L19" s="147">
        <f>K19*I19</f>
        <v>1.03626</v>
      </c>
      <c r="N19" s="207">
        <f t="shared" si="3"/>
        <v>56</v>
      </c>
      <c r="O19" s="211">
        <f t="shared" si="4"/>
        <v>1.0793333333333326</v>
      </c>
      <c r="P19" s="211">
        <f t="shared" si="4"/>
        <v>0.85599999999999998</v>
      </c>
      <c r="Q19" s="210"/>
      <c r="R19" s="207">
        <f t="shared" si="0"/>
        <v>0.47999999999999909</v>
      </c>
      <c r="S19" s="211">
        <f t="shared" si="1"/>
        <v>0</v>
      </c>
      <c r="T19" s="211">
        <f t="shared" si="2"/>
        <v>0</v>
      </c>
    </row>
    <row r="20" spans="1:20" ht="15.75" x14ac:dyDescent="0.25">
      <c r="A20" s="111"/>
      <c r="B20" s="5"/>
      <c r="C20" s="5"/>
      <c r="D20" s="5"/>
      <c r="E20" s="155"/>
      <c r="F20" s="5"/>
      <c r="G20" s="5"/>
      <c r="H20" s="5"/>
      <c r="I20" s="5"/>
      <c r="J20" s="5"/>
      <c r="K20" s="5"/>
      <c r="L20" s="5"/>
      <c r="N20" s="207">
        <f t="shared" si="3"/>
        <v>57</v>
      </c>
      <c r="O20" s="211">
        <f t="shared" si="4"/>
        <v>1.0736666666666659</v>
      </c>
      <c r="P20" s="211">
        <f t="shared" si="4"/>
        <v>0.85699999999999998</v>
      </c>
      <c r="Q20" s="210"/>
      <c r="R20" s="207">
        <f t="shared" si="0"/>
        <v>0.4899999999999991</v>
      </c>
      <c r="S20" s="211">
        <f t="shared" si="1"/>
        <v>0</v>
      </c>
      <c r="T20" s="211">
        <f t="shared" si="2"/>
        <v>0</v>
      </c>
    </row>
    <row r="21" spans="1:20" ht="15.75" x14ac:dyDescent="0.25">
      <c r="A21" s="111"/>
      <c r="B21" s="5"/>
      <c r="C21" s="5"/>
      <c r="D21" s="5"/>
      <c r="E21" s="155"/>
      <c r="F21" s="5"/>
      <c r="G21" s="5"/>
      <c r="H21" s="5"/>
      <c r="I21" s="5"/>
      <c r="J21" s="5"/>
      <c r="K21" s="5"/>
      <c r="L21" s="5"/>
      <c r="N21" s="207">
        <f t="shared" si="3"/>
        <v>58</v>
      </c>
      <c r="O21" s="211">
        <f t="shared" ref="O21:P32" si="5">O20+((O$33-O$3)/ROWS($N$4:$N$33))</f>
        <v>1.0679999999999992</v>
      </c>
      <c r="P21" s="211">
        <f t="shared" si="5"/>
        <v>0.85799999999999998</v>
      </c>
      <c r="Q21" s="210"/>
      <c r="R21" s="207">
        <f t="shared" si="0"/>
        <v>0.49999999999999911</v>
      </c>
      <c r="S21" s="211">
        <f t="shared" si="1"/>
        <v>0</v>
      </c>
      <c r="T21" s="211">
        <f t="shared" si="2"/>
        <v>0</v>
      </c>
    </row>
    <row r="22" spans="1:20" ht="15.75" x14ac:dyDescent="0.25">
      <c r="A22" s="111"/>
      <c r="B22" s="5"/>
      <c r="C22" s="5"/>
      <c r="D22" s="5"/>
      <c r="E22" s="155"/>
      <c r="F22" s="5"/>
      <c r="G22" s="5"/>
      <c r="H22" s="5"/>
      <c r="I22" s="5"/>
      <c r="J22" s="5"/>
      <c r="K22" s="5"/>
      <c r="L22" s="5"/>
      <c r="N22" s="207">
        <f t="shared" si="3"/>
        <v>59</v>
      </c>
      <c r="O22" s="211">
        <f t="shared" si="5"/>
        <v>1.0623333333333325</v>
      </c>
      <c r="P22" s="211">
        <f t="shared" si="5"/>
        <v>0.85899999999999999</v>
      </c>
      <c r="Q22" s="210"/>
      <c r="R22" s="207">
        <f t="shared" si="0"/>
        <v>0.50999999999999912</v>
      </c>
      <c r="S22" s="211">
        <f t="shared" si="1"/>
        <v>0</v>
      </c>
      <c r="T22" s="211">
        <f t="shared" si="2"/>
        <v>0</v>
      </c>
    </row>
    <row r="23" spans="1:20" ht="15.75" x14ac:dyDescent="0.25">
      <c r="A23" s="111"/>
      <c r="B23" s="5"/>
      <c r="C23" s="5"/>
      <c r="D23" s="5"/>
      <c r="E23" s="155"/>
      <c r="F23" s="5"/>
      <c r="G23" s="5"/>
      <c r="H23" s="5"/>
      <c r="I23" s="5"/>
      <c r="J23" s="5"/>
      <c r="K23" s="5"/>
      <c r="L23" s="5"/>
      <c r="N23" s="207">
        <f t="shared" si="3"/>
        <v>60</v>
      </c>
      <c r="O23" s="211">
        <f t="shared" si="5"/>
        <v>1.0566666666666658</v>
      </c>
      <c r="P23" s="211">
        <f t="shared" si="5"/>
        <v>0.86</v>
      </c>
      <c r="Q23" s="210"/>
      <c r="R23" s="207">
        <f t="shared" si="0"/>
        <v>0.51999999999999913</v>
      </c>
      <c r="S23" s="211">
        <f t="shared" si="1"/>
        <v>0</v>
      </c>
      <c r="T23" s="211">
        <f t="shared" si="2"/>
        <v>0</v>
      </c>
    </row>
    <row r="24" spans="1:20" ht="15.75" x14ac:dyDescent="0.25">
      <c r="A24" s="111"/>
      <c r="B24" s="5"/>
      <c r="C24" s="5"/>
      <c r="D24" s="5"/>
      <c r="E24" s="155"/>
      <c r="F24" s="5"/>
      <c r="G24" s="5"/>
      <c r="H24" s="5"/>
      <c r="I24" s="5"/>
      <c r="J24" s="5"/>
      <c r="K24" s="5"/>
      <c r="L24" s="5"/>
      <c r="N24" s="207">
        <f t="shared" si="3"/>
        <v>61</v>
      </c>
      <c r="O24" s="211">
        <f t="shared" si="5"/>
        <v>1.050999999999999</v>
      </c>
      <c r="P24" s="211">
        <f t="shared" si="5"/>
        <v>0.86099999999999999</v>
      </c>
      <c r="Q24" s="210"/>
      <c r="R24" s="207">
        <f t="shared" si="0"/>
        <v>0.52999999999999914</v>
      </c>
      <c r="S24" s="211">
        <f t="shared" si="1"/>
        <v>0</v>
      </c>
      <c r="T24" s="211">
        <f t="shared" si="2"/>
        <v>0</v>
      </c>
    </row>
    <row r="25" spans="1:20" ht="15.75" x14ac:dyDescent="0.25">
      <c r="A25" s="111"/>
      <c r="B25" s="5"/>
      <c r="C25" s="5"/>
      <c r="D25" s="5"/>
      <c r="E25" s="155"/>
      <c r="F25" s="148"/>
      <c r="G25" s="5"/>
      <c r="H25" s="5"/>
      <c r="I25" s="5"/>
      <c r="J25" s="5"/>
      <c r="K25" s="5"/>
      <c r="L25" s="5"/>
      <c r="N25" s="207">
        <f t="shared" si="3"/>
        <v>62</v>
      </c>
      <c r="O25" s="211">
        <f t="shared" si="5"/>
        <v>1.0453333333333323</v>
      </c>
      <c r="P25" s="211">
        <f t="shared" si="5"/>
        <v>0.86199999999999999</v>
      </c>
      <c r="Q25" s="210"/>
      <c r="R25" s="207">
        <f t="shared" si="0"/>
        <v>0.53999999999999915</v>
      </c>
      <c r="S25" s="211">
        <f t="shared" si="1"/>
        <v>0</v>
      </c>
      <c r="T25" s="211">
        <f t="shared" si="2"/>
        <v>0</v>
      </c>
    </row>
    <row r="26" spans="1:20" ht="15.75" x14ac:dyDescent="0.25">
      <c r="A26" s="111"/>
      <c r="B26" s="5"/>
      <c r="C26" s="5"/>
      <c r="D26" s="5"/>
      <c r="E26" s="155"/>
      <c r="F26" s="149"/>
      <c r="G26" s="5"/>
      <c r="H26" s="5"/>
      <c r="I26" s="5"/>
      <c r="J26" s="5"/>
      <c r="K26" s="5"/>
      <c r="L26" s="5"/>
      <c r="N26" s="207">
        <f t="shared" si="3"/>
        <v>63</v>
      </c>
      <c r="O26" s="211">
        <f t="shared" si="5"/>
        <v>1.0396666666666656</v>
      </c>
      <c r="P26" s="211">
        <f t="shared" si="5"/>
        <v>0.86299999999999999</v>
      </c>
      <c r="Q26" s="210"/>
      <c r="R26" s="207">
        <f t="shared" si="0"/>
        <v>0.54999999999999916</v>
      </c>
      <c r="S26" s="211">
        <f t="shared" si="1"/>
        <v>0</v>
      </c>
      <c r="T26" s="211">
        <f t="shared" si="2"/>
        <v>0</v>
      </c>
    </row>
    <row r="27" spans="1:20" ht="15.75" x14ac:dyDescent="0.25">
      <c r="A27" s="111"/>
      <c r="B27" s="5"/>
      <c r="C27" s="5"/>
      <c r="D27" s="5"/>
      <c r="E27" s="155"/>
      <c r="F27" s="149"/>
      <c r="G27" s="5"/>
      <c r="H27" s="5"/>
      <c r="I27" s="5"/>
      <c r="J27" s="5"/>
      <c r="K27" s="5"/>
      <c r="L27" s="5"/>
      <c r="N27" s="207">
        <f t="shared" si="3"/>
        <v>64</v>
      </c>
      <c r="O27" s="211">
        <f t="shared" si="5"/>
        <v>1.0339999999999989</v>
      </c>
      <c r="P27" s="211">
        <f t="shared" si="5"/>
        <v>0.86399999999999999</v>
      </c>
      <c r="Q27" s="210"/>
      <c r="R27" s="207">
        <f t="shared" si="0"/>
        <v>0.55999999999999917</v>
      </c>
      <c r="S27" s="211">
        <f t="shared" si="1"/>
        <v>0</v>
      </c>
      <c r="T27" s="211">
        <f t="shared" si="2"/>
        <v>0</v>
      </c>
    </row>
    <row r="28" spans="1:20" ht="15.75" x14ac:dyDescent="0.25">
      <c r="A28" s="111"/>
      <c r="B28" s="5"/>
      <c r="C28" s="5"/>
      <c r="D28" s="5"/>
      <c r="E28" s="155"/>
      <c r="F28" s="149"/>
      <c r="G28" s="5"/>
      <c r="H28" s="5"/>
      <c r="I28" s="5"/>
      <c r="J28" s="5"/>
      <c r="K28" s="5"/>
      <c r="L28" s="5"/>
      <c r="N28" s="207">
        <f t="shared" si="3"/>
        <v>65</v>
      </c>
      <c r="O28" s="211">
        <f t="shared" si="5"/>
        <v>1.0283333333333322</v>
      </c>
      <c r="P28" s="211">
        <f t="shared" si="5"/>
        <v>0.86499999999999999</v>
      </c>
      <c r="Q28" s="210"/>
      <c r="R28" s="207">
        <f t="shared" si="0"/>
        <v>0.56999999999999917</v>
      </c>
      <c r="S28" s="211">
        <f t="shared" si="1"/>
        <v>0</v>
      </c>
      <c r="T28" s="211">
        <f t="shared" si="2"/>
        <v>0</v>
      </c>
    </row>
    <row r="29" spans="1:20" ht="15.75" x14ac:dyDescent="0.25">
      <c r="A29" s="111"/>
      <c r="B29" s="5"/>
      <c r="C29" s="5"/>
      <c r="D29" s="5"/>
      <c r="E29" s="155"/>
      <c r="F29" s="149"/>
      <c r="G29" s="5"/>
      <c r="H29" s="5"/>
      <c r="I29" s="5"/>
      <c r="J29" s="5"/>
      <c r="K29" s="5"/>
      <c r="L29" s="5"/>
      <c r="N29" s="207">
        <f t="shared" si="3"/>
        <v>66</v>
      </c>
      <c r="O29" s="211">
        <f t="shared" si="5"/>
        <v>1.0226666666666655</v>
      </c>
      <c r="P29" s="211">
        <f t="shared" si="5"/>
        <v>0.86599999999999999</v>
      </c>
      <c r="Q29" s="210"/>
      <c r="R29" s="207">
        <f t="shared" si="0"/>
        <v>0.57999999999999918</v>
      </c>
      <c r="S29" s="211">
        <f t="shared" si="1"/>
        <v>0</v>
      </c>
      <c r="T29" s="211">
        <f t="shared" si="2"/>
        <v>0</v>
      </c>
    </row>
    <row r="30" spans="1:20" ht="15.75" x14ac:dyDescent="0.25">
      <c r="A30" s="111"/>
      <c r="B30" s="5"/>
      <c r="C30" s="5"/>
      <c r="D30" s="5"/>
      <c r="E30" s="155"/>
      <c r="F30" s="149"/>
      <c r="G30" s="5"/>
      <c r="H30" s="5"/>
      <c r="I30" s="5"/>
      <c r="J30" s="5"/>
      <c r="K30" s="5"/>
      <c r="L30" s="5"/>
      <c r="N30" s="207">
        <f t="shared" si="3"/>
        <v>67</v>
      </c>
      <c r="O30" s="211">
        <f t="shared" si="5"/>
        <v>1.0169999999999988</v>
      </c>
      <c r="P30" s="211">
        <f t="shared" si="5"/>
        <v>0.86699999999999999</v>
      </c>
      <c r="Q30" s="210"/>
      <c r="R30" s="207">
        <f t="shared" si="0"/>
        <v>0.58999999999999919</v>
      </c>
      <c r="S30" s="211">
        <f t="shared" si="1"/>
        <v>0</v>
      </c>
      <c r="T30" s="211">
        <f t="shared" si="2"/>
        <v>0</v>
      </c>
    </row>
    <row r="31" spans="1:20" ht="15.75" x14ac:dyDescent="0.25">
      <c r="A31" s="111"/>
      <c r="B31" s="5"/>
      <c r="C31" s="5"/>
      <c r="D31" s="5"/>
      <c r="E31" s="155"/>
      <c r="F31" s="5"/>
      <c r="G31" s="5"/>
      <c r="H31" s="5"/>
      <c r="I31" s="5"/>
      <c r="J31" s="5"/>
      <c r="K31" s="5"/>
      <c r="L31" s="5"/>
      <c r="N31" s="207">
        <f t="shared" si="3"/>
        <v>68</v>
      </c>
      <c r="O31" s="211">
        <f t="shared" si="5"/>
        <v>1.0113333333333321</v>
      </c>
      <c r="P31" s="211">
        <f t="shared" si="5"/>
        <v>0.86799999999999999</v>
      </c>
      <c r="Q31" s="210"/>
      <c r="R31" s="207">
        <f t="shared" si="0"/>
        <v>0.5999999999999992</v>
      </c>
      <c r="S31" s="211">
        <f t="shared" si="1"/>
        <v>0</v>
      </c>
      <c r="T31" s="211">
        <f t="shared" si="2"/>
        <v>0</v>
      </c>
    </row>
    <row r="32" spans="1:20" ht="15.75" x14ac:dyDescent="0.25">
      <c r="A32" s="111"/>
      <c r="B32" s="5"/>
      <c r="C32" s="5"/>
      <c r="D32" s="5"/>
      <c r="E32" s="155"/>
      <c r="F32" s="5"/>
      <c r="G32" s="5"/>
      <c r="H32" s="5"/>
      <c r="I32" s="5"/>
      <c r="J32" s="5"/>
      <c r="K32" s="5"/>
      <c r="L32" s="5"/>
      <c r="N32" s="207">
        <f t="shared" si="3"/>
        <v>69</v>
      </c>
      <c r="O32" s="211">
        <f t="shared" si="5"/>
        <v>1.0056666666666654</v>
      </c>
      <c r="P32" s="211">
        <f t="shared" si="5"/>
        <v>0.86899999999999999</v>
      </c>
      <c r="Q32" s="210"/>
      <c r="R32" s="207">
        <f t="shared" si="0"/>
        <v>0.60999999999999921</v>
      </c>
      <c r="S32" s="211">
        <f t="shared" si="1"/>
        <v>0</v>
      </c>
      <c r="T32" s="211">
        <f t="shared" si="2"/>
        <v>0</v>
      </c>
    </row>
    <row r="33" spans="1:20" ht="15.75" x14ac:dyDescent="0.25">
      <c r="A33" s="111"/>
      <c r="B33" s="5"/>
      <c r="C33" s="5"/>
      <c r="D33" s="5"/>
      <c r="E33" s="155"/>
      <c r="F33" s="5"/>
      <c r="G33" s="5"/>
      <c r="H33" s="5"/>
      <c r="I33" s="5"/>
      <c r="J33" s="5"/>
      <c r="K33" s="5"/>
      <c r="L33" s="5"/>
      <c r="N33" s="207">
        <f t="shared" si="3"/>
        <v>70</v>
      </c>
      <c r="O33" s="209">
        <f>G16</f>
        <v>1</v>
      </c>
      <c r="P33" s="209">
        <f>I16</f>
        <v>0.87</v>
      </c>
      <c r="R33" s="207">
        <f t="shared" si="0"/>
        <v>0.61999999999999922</v>
      </c>
      <c r="S33" s="211">
        <f t="shared" si="1"/>
        <v>0</v>
      </c>
      <c r="T33" s="211">
        <f t="shared" si="2"/>
        <v>0</v>
      </c>
    </row>
    <row r="34" spans="1:20" ht="15.75" x14ac:dyDescent="0.25">
      <c r="A34" s="111"/>
      <c r="B34" s="5"/>
      <c r="C34" s="5"/>
      <c r="D34" s="5"/>
      <c r="E34" s="155"/>
      <c r="F34" s="5"/>
      <c r="G34" s="5"/>
      <c r="H34" s="5"/>
      <c r="I34" s="5"/>
      <c r="J34" s="5"/>
      <c r="K34" s="5"/>
      <c r="L34" s="5"/>
      <c r="N34" s="207">
        <f t="shared" si="3"/>
        <v>71</v>
      </c>
      <c r="O34" s="211">
        <f>O33+((O$63-O$33)/ROWS($N$34:$N$63))</f>
        <v>0.9993333333333333</v>
      </c>
      <c r="P34" s="211">
        <f t="shared" ref="P34:P62" si="6">P33+((P$63-P$33)/ROWS($N$34:$N$63))</f>
        <v>0.8706666666666667</v>
      </c>
      <c r="Q34" s="210"/>
      <c r="R34" s="207">
        <f t="shared" si="0"/>
        <v>0.62999999999999923</v>
      </c>
      <c r="S34" s="211">
        <f t="shared" si="1"/>
        <v>0</v>
      </c>
      <c r="T34" s="211">
        <f t="shared" si="2"/>
        <v>0</v>
      </c>
    </row>
    <row r="35" spans="1:20" ht="15.75" x14ac:dyDescent="0.25">
      <c r="A35" s="111"/>
      <c r="B35" s="5"/>
      <c r="C35" s="5"/>
      <c r="D35" s="5"/>
      <c r="E35" s="155"/>
      <c r="F35" s="5"/>
      <c r="G35" s="5"/>
      <c r="H35" s="5"/>
      <c r="I35" s="5"/>
      <c r="J35" s="5"/>
      <c r="K35" s="5"/>
      <c r="L35" s="5"/>
      <c r="N35" s="207">
        <f t="shared" si="3"/>
        <v>72</v>
      </c>
      <c r="O35" s="211">
        <f t="shared" ref="O35:O62" si="7">O34+((O$63-O$33)/ROWS($N$34:$N$63))</f>
        <v>0.99866666666666659</v>
      </c>
      <c r="P35" s="211">
        <f t="shared" si="6"/>
        <v>0.8713333333333334</v>
      </c>
      <c r="Q35" s="210"/>
      <c r="R35" s="207">
        <f t="shared" si="0"/>
        <v>0.63999999999999924</v>
      </c>
      <c r="S35" s="211">
        <f t="shared" si="1"/>
        <v>0</v>
      </c>
      <c r="T35" s="211">
        <f t="shared" si="2"/>
        <v>0</v>
      </c>
    </row>
    <row r="36" spans="1:20" ht="15.75" x14ac:dyDescent="0.25">
      <c r="A36" s="111"/>
      <c r="B36" s="5"/>
      <c r="C36" s="5"/>
      <c r="D36" s="5"/>
      <c r="E36" s="155"/>
      <c r="F36" s="5"/>
      <c r="G36" s="5"/>
      <c r="H36" s="5"/>
      <c r="I36" s="5"/>
      <c r="J36" s="5"/>
      <c r="K36" s="5"/>
      <c r="L36" s="5"/>
      <c r="N36" s="207">
        <f t="shared" si="3"/>
        <v>73</v>
      </c>
      <c r="O36" s="211">
        <f t="shared" si="7"/>
        <v>0.99799999999999989</v>
      </c>
      <c r="P36" s="211">
        <f t="shared" si="6"/>
        <v>0.87200000000000011</v>
      </c>
      <c r="Q36" s="210"/>
      <c r="R36" s="207">
        <f t="shared" si="0"/>
        <v>0.64999999999999925</v>
      </c>
      <c r="S36" s="211">
        <f t="shared" si="1"/>
        <v>0</v>
      </c>
      <c r="T36" s="211">
        <f t="shared" si="2"/>
        <v>0</v>
      </c>
    </row>
    <row r="37" spans="1:20" ht="15.75" x14ac:dyDescent="0.25">
      <c r="A37" s="111"/>
      <c r="B37" s="5"/>
      <c r="C37" s="5"/>
      <c r="D37" s="5"/>
      <c r="E37" s="155"/>
      <c r="F37" s="5"/>
      <c r="G37" s="5"/>
      <c r="H37" s="5"/>
      <c r="I37" s="5"/>
      <c r="J37" s="5"/>
      <c r="K37" s="5"/>
      <c r="L37" s="5"/>
      <c r="N37" s="207">
        <f t="shared" si="3"/>
        <v>74</v>
      </c>
      <c r="O37" s="211">
        <f t="shared" si="7"/>
        <v>0.99733333333333318</v>
      </c>
      <c r="P37" s="211">
        <f t="shared" si="6"/>
        <v>0.87266666666666681</v>
      </c>
      <c r="Q37" s="210"/>
      <c r="R37" s="207">
        <f t="shared" si="0"/>
        <v>0.65999999999999925</v>
      </c>
      <c r="S37" s="211">
        <f t="shared" si="1"/>
        <v>0</v>
      </c>
      <c r="T37" s="211">
        <f t="shared" si="2"/>
        <v>0</v>
      </c>
    </row>
    <row r="38" spans="1:20" ht="15.75" x14ac:dyDescent="0.25">
      <c r="A38" s="111"/>
      <c r="B38" s="5"/>
      <c r="C38" s="5"/>
      <c r="D38" s="5"/>
      <c r="E38" s="155"/>
      <c r="F38" s="5"/>
      <c r="G38" s="5"/>
      <c r="H38" s="5"/>
      <c r="I38" s="5"/>
      <c r="J38" s="5"/>
      <c r="K38" s="5"/>
      <c r="L38" s="5"/>
      <c r="N38" s="207">
        <f t="shared" si="3"/>
        <v>75</v>
      </c>
      <c r="O38" s="211">
        <f t="shared" si="7"/>
        <v>0.99666666666666648</v>
      </c>
      <c r="P38" s="211">
        <f t="shared" si="6"/>
        <v>0.87333333333333352</v>
      </c>
      <c r="Q38" s="210"/>
      <c r="R38" s="207">
        <f t="shared" si="0"/>
        <v>0.66999999999999926</v>
      </c>
      <c r="S38" s="211">
        <f t="shared" si="1"/>
        <v>0</v>
      </c>
      <c r="T38" s="211">
        <f t="shared" si="2"/>
        <v>0</v>
      </c>
    </row>
    <row r="39" spans="1:20" x14ac:dyDescent="0.2">
      <c r="B39" s="11"/>
      <c r="C39" s="11"/>
      <c r="D39" s="11"/>
      <c r="E39" s="158"/>
      <c r="F39" s="11"/>
      <c r="G39" s="11"/>
      <c r="H39" s="11"/>
      <c r="I39" s="11"/>
      <c r="J39" s="11"/>
      <c r="K39" s="11"/>
      <c r="L39" s="11"/>
      <c r="N39" s="207">
        <f t="shared" si="3"/>
        <v>76</v>
      </c>
      <c r="O39" s="211">
        <f t="shared" si="7"/>
        <v>0.99599999999999977</v>
      </c>
      <c r="P39" s="211">
        <f t="shared" si="6"/>
        <v>0.87400000000000022</v>
      </c>
      <c r="Q39" s="210"/>
      <c r="R39" s="207">
        <f t="shared" si="0"/>
        <v>0.67999999999999927</v>
      </c>
      <c r="S39" s="211">
        <f t="shared" si="1"/>
        <v>0</v>
      </c>
      <c r="T39" s="211">
        <f t="shared" si="2"/>
        <v>0</v>
      </c>
    </row>
    <row r="40" spans="1:20" x14ac:dyDescent="0.2">
      <c r="N40" s="207">
        <f t="shared" si="3"/>
        <v>77</v>
      </c>
      <c r="O40" s="211">
        <f t="shared" si="7"/>
        <v>0.99533333333333307</v>
      </c>
      <c r="P40" s="211">
        <f t="shared" si="6"/>
        <v>0.87466666666666693</v>
      </c>
      <c r="Q40" s="210"/>
      <c r="R40" s="207">
        <f t="shared" si="0"/>
        <v>0.68999999999999928</v>
      </c>
      <c r="S40" s="211">
        <f t="shared" si="1"/>
        <v>0</v>
      </c>
      <c r="T40" s="211">
        <f t="shared" si="2"/>
        <v>0</v>
      </c>
    </row>
    <row r="41" spans="1:20" x14ac:dyDescent="0.2">
      <c r="N41" s="207">
        <f t="shared" si="3"/>
        <v>78</v>
      </c>
      <c r="O41" s="211">
        <f t="shared" si="7"/>
        <v>0.99466666666666637</v>
      </c>
      <c r="P41" s="211">
        <f t="shared" si="6"/>
        <v>0.87533333333333363</v>
      </c>
      <c r="Q41" s="210"/>
      <c r="R41" s="207">
        <f t="shared" si="0"/>
        <v>0.69999999999999929</v>
      </c>
      <c r="S41" s="211">
        <f t="shared" si="1"/>
        <v>0</v>
      </c>
      <c r="T41" s="211">
        <f t="shared" si="2"/>
        <v>0</v>
      </c>
    </row>
    <row r="42" spans="1:20" x14ac:dyDescent="0.2">
      <c r="N42" s="207">
        <f t="shared" si="3"/>
        <v>79</v>
      </c>
      <c r="O42" s="211">
        <f t="shared" si="7"/>
        <v>0.99399999999999966</v>
      </c>
      <c r="P42" s="211">
        <f t="shared" si="6"/>
        <v>0.87600000000000033</v>
      </c>
      <c r="Q42" s="210"/>
      <c r="R42" s="207">
        <f t="shared" si="0"/>
        <v>0.7099999999999993</v>
      </c>
      <c r="S42" s="211">
        <f t="shared" si="1"/>
        <v>0</v>
      </c>
      <c r="T42" s="211">
        <f t="shared" si="2"/>
        <v>0</v>
      </c>
    </row>
    <row r="43" spans="1:20" x14ac:dyDescent="0.2">
      <c r="N43" s="207">
        <f t="shared" si="3"/>
        <v>80</v>
      </c>
      <c r="O43" s="211">
        <f t="shared" si="7"/>
        <v>0.99333333333333296</v>
      </c>
      <c r="P43" s="211">
        <f t="shared" si="6"/>
        <v>0.87666666666666704</v>
      </c>
      <c r="Q43" s="210"/>
      <c r="R43" s="207">
        <f t="shared" si="0"/>
        <v>0.71999999999999931</v>
      </c>
      <c r="S43" s="211">
        <f t="shared" si="1"/>
        <v>0</v>
      </c>
      <c r="T43" s="211">
        <f t="shared" si="2"/>
        <v>0</v>
      </c>
    </row>
    <row r="44" spans="1:20" x14ac:dyDescent="0.2">
      <c r="N44" s="207">
        <f t="shared" si="3"/>
        <v>81</v>
      </c>
      <c r="O44" s="211">
        <f t="shared" si="7"/>
        <v>0.99266666666666625</v>
      </c>
      <c r="P44" s="211">
        <f t="shared" si="6"/>
        <v>0.87733333333333374</v>
      </c>
      <c r="Q44" s="210"/>
      <c r="R44" s="207">
        <f t="shared" si="0"/>
        <v>0.72999999999999932</v>
      </c>
      <c r="S44" s="211">
        <f t="shared" si="1"/>
        <v>0</v>
      </c>
      <c r="T44" s="211">
        <f t="shared" si="2"/>
        <v>0</v>
      </c>
    </row>
    <row r="45" spans="1:20" x14ac:dyDescent="0.2">
      <c r="N45" s="207">
        <f t="shared" si="3"/>
        <v>82</v>
      </c>
      <c r="O45" s="211">
        <f t="shared" si="7"/>
        <v>0.99199999999999955</v>
      </c>
      <c r="P45" s="211">
        <f t="shared" si="6"/>
        <v>0.87800000000000045</v>
      </c>
      <c r="Q45" s="210"/>
      <c r="R45" s="207">
        <f t="shared" si="0"/>
        <v>0.73999999999999932</v>
      </c>
      <c r="S45" s="211">
        <f t="shared" si="1"/>
        <v>0</v>
      </c>
      <c r="T45" s="211">
        <f t="shared" si="2"/>
        <v>0</v>
      </c>
    </row>
    <row r="46" spans="1:20" x14ac:dyDescent="0.2">
      <c r="N46" s="207">
        <f t="shared" si="3"/>
        <v>83</v>
      </c>
      <c r="O46" s="211">
        <f t="shared" si="7"/>
        <v>0.99133333333333284</v>
      </c>
      <c r="P46" s="211">
        <f t="shared" si="6"/>
        <v>0.87866666666666715</v>
      </c>
      <c r="Q46" s="210"/>
      <c r="R46" s="207">
        <f t="shared" si="0"/>
        <v>0.74999999999999933</v>
      </c>
      <c r="S46" s="211">
        <f t="shared" si="1"/>
        <v>0</v>
      </c>
      <c r="T46" s="211">
        <f t="shared" si="2"/>
        <v>0</v>
      </c>
    </row>
    <row r="47" spans="1:20" x14ac:dyDescent="0.2">
      <c r="N47" s="207">
        <f t="shared" si="3"/>
        <v>84</v>
      </c>
      <c r="O47" s="211">
        <f t="shared" si="7"/>
        <v>0.99066666666666614</v>
      </c>
      <c r="P47" s="211">
        <f t="shared" si="6"/>
        <v>0.87933333333333386</v>
      </c>
      <c r="Q47" s="210"/>
      <c r="R47" s="207">
        <f t="shared" si="0"/>
        <v>0.75999999999999934</v>
      </c>
      <c r="S47" s="211">
        <f t="shared" si="1"/>
        <v>0</v>
      </c>
      <c r="T47" s="211">
        <f t="shared" si="2"/>
        <v>0</v>
      </c>
    </row>
    <row r="48" spans="1:20" x14ac:dyDescent="0.2">
      <c r="N48" s="207">
        <f t="shared" si="3"/>
        <v>85</v>
      </c>
      <c r="O48" s="211">
        <f t="shared" si="7"/>
        <v>0.98999999999999944</v>
      </c>
      <c r="P48" s="211">
        <f t="shared" si="6"/>
        <v>0.88000000000000056</v>
      </c>
      <c r="Q48" s="210"/>
      <c r="R48" s="207">
        <f t="shared" si="0"/>
        <v>0.76999999999999935</v>
      </c>
      <c r="S48" s="211">
        <f t="shared" si="1"/>
        <v>0</v>
      </c>
      <c r="T48" s="211">
        <f t="shared" si="2"/>
        <v>0</v>
      </c>
    </row>
    <row r="49" spans="14:20" x14ac:dyDescent="0.2">
      <c r="N49" s="207">
        <f t="shared" si="3"/>
        <v>86</v>
      </c>
      <c r="O49" s="211">
        <f t="shared" si="7"/>
        <v>0.98933333333333273</v>
      </c>
      <c r="P49" s="211">
        <f t="shared" si="6"/>
        <v>0.88066666666666726</v>
      </c>
      <c r="Q49" s="210"/>
      <c r="R49" s="207">
        <f t="shared" si="0"/>
        <v>0.77999999999999936</v>
      </c>
      <c r="S49" s="211">
        <f t="shared" si="1"/>
        <v>0</v>
      </c>
      <c r="T49" s="211">
        <f t="shared" si="2"/>
        <v>0</v>
      </c>
    </row>
    <row r="50" spans="14:20" x14ac:dyDescent="0.2">
      <c r="N50" s="207">
        <f t="shared" si="3"/>
        <v>87</v>
      </c>
      <c r="O50" s="211">
        <f t="shared" si="7"/>
        <v>0.98866666666666603</v>
      </c>
      <c r="P50" s="211">
        <f t="shared" si="6"/>
        <v>0.88133333333333397</v>
      </c>
      <c r="Q50" s="210"/>
      <c r="R50" s="207">
        <f t="shared" si="0"/>
        <v>0.78999999999999937</v>
      </c>
      <c r="S50" s="211">
        <f t="shared" si="1"/>
        <v>0</v>
      </c>
      <c r="T50" s="211">
        <f t="shared" si="2"/>
        <v>0</v>
      </c>
    </row>
    <row r="51" spans="14:20" x14ac:dyDescent="0.2">
      <c r="N51" s="207">
        <f t="shared" si="3"/>
        <v>88</v>
      </c>
      <c r="O51" s="211">
        <f t="shared" si="7"/>
        <v>0.98799999999999932</v>
      </c>
      <c r="P51" s="211">
        <f t="shared" si="6"/>
        <v>0.88200000000000067</v>
      </c>
      <c r="Q51" s="210"/>
      <c r="R51" s="207">
        <f t="shared" si="0"/>
        <v>0.79999999999999938</v>
      </c>
      <c r="S51" s="211">
        <f t="shared" si="1"/>
        <v>0</v>
      </c>
      <c r="T51" s="211">
        <f t="shared" si="2"/>
        <v>0</v>
      </c>
    </row>
    <row r="52" spans="14:20" x14ac:dyDescent="0.2">
      <c r="N52" s="207">
        <f t="shared" si="3"/>
        <v>89</v>
      </c>
      <c r="O52" s="211">
        <f t="shared" si="7"/>
        <v>0.98733333333333262</v>
      </c>
      <c r="P52" s="211">
        <f t="shared" si="6"/>
        <v>0.88266666666666738</v>
      </c>
      <c r="Q52" s="210"/>
      <c r="R52" s="207">
        <f t="shared" si="0"/>
        <v>0.80999999999999939</v>
      </c>
      <c r="S52" s="211">
        <f t="shared" si="1"/>
        <v>0</v>
      </c>
      <c r="T52" s="211">
        <f t="shared" si="2"/>
        <v>0</v>
      </c>
    </row>
    <row r="53" spans="14:20" x14ac:dyDescent="0.2">
      <c r="N53" s="207">
        <f t="shared" si="3"/>
        <v>90</v>
      </c>
      <c r="O53" s="211">
        <f t="shared" si="7"/>
        <v>0.98666666666666591</v>
      </c>
      <c r="P53" s="211">
        <f t="shared" si="6"/>
        <v>0.88333333333333408</v>
      </c>
      <c r="Q53" s="210"/>
      <c r="R53" s="207">
        <f t="shared" si="0"/>
        <v>0.8199999999999994</v>
      </c>
      <c r="S53" s="211">
        <f t="shared" si="1"/>
        <v>0</v>
      </c>
      <c r="T53" s="211">
        <f t="shared" si="2"/>
        <v>0</v>
      </c>
    </row>
    <row r="54" spans="14:20" x14ac:dyDescent="0.2">
      <c r="N54" s="207">
        <f t="shared" si="3"/>
        <v>91</v>
      </c>
      <c r="O54" s="211">
        <f t="shared" si="7"/>
        <v>0.98599999999999921</v>
      </c>
      <c r="P54" s="211">
        <f t="shared" si="6"/>
        <v>0.88400000000000079</v>
      </c>
      <c r="Q54" s="210"/>
      <c r="R54" s="207">
        <f t="shared" si="0"/>
        <v>0.8299999999999994</v>
      </c>
      <c r="S54" s="211">
        <f t="shared" si="1"/>
        <v>0</v>
      </c>
      <c r="T54" s="211">
        <f t="shared" si="2"/>
        <v>0</v>
      </c>
    </row>
    <row r="55" spans="14:20" x14ac:dyDescent="0.2">
      <c r="N55" s="207">
        <f t="shared" si="3"/>
        <v>92</v>
      </c>
      <c r="O55" s="211">
        <f t="shared" si="7"/>
        <v>0.98533333333333251</v>
      </c>
      <c r="P55" s="211">
        <f t="shared" si="6"/>
        <v>0.88466666666666749</v>
      </c>
      <c r="Q55" s="210"/>
      <c r="R55" s="207">
        <f t="shared" si="0"/>
        <v>0.83999999999999941</v>
      </c>
      <c r="S55" s="211">
        <f t="shared" si="1"/>
        <v>0</v>
      </c>
      <c r="T55" s="211">
        <f t="shared" si="2"/>
        <v>0</v>
      </c>
    </row>
    <row r="56" spans="14:20" x14ac:dyDescent="0.2">
      <c r="N56" s="207">
        <f t="shared" si="3"/>
        <v>93</v>
      </c>
      <c r="O56" s="211">
        <f t="shared" si="7"/>
        <v>0.9846666666666658</v>
      </c>
      <c r="P56" s="211">
        <f t="shared" si="6"/>
        <v>0.88533333333333419</v>
      </c>
      <c r="Q56" s="210"/>
      <c r="R56" s="207">
        <f t="shared" si="0"/>
        <v>0.84999999999999942</v>
      </c>
      <c r="S56" s="211">
        <f t="shared" si="1"/>
        <v>0</v>
      </c>
      <c r="T56" s="211">
        <f t="shared" si="2"/>
        <v>0</v>
      </c>
    </row>
    <row r="57" spans="14:20" x14ac:dyDescent="0.2">
      <c r="N57" s="207">
        <f t="shared" si="3"/>
        <v>94</v>
      </c>
      <c r="O57" s="211">
        <f t="shared" si="7"/>
        <v>0.9839999999999991</v>
      </c>
      <c r="P57" s="211">
        <f t="shared" si="6"/>
        <v>0.8860000000000009</v>
      </c>
      <c r="Q57" s="210"/>
      <c r="R57" s="207">
        <f t="shared" si="0"/>
        <v>0.85999999999999943</v>
      </c>
      <c r="S57" s="211">
        <f t="shared" si="1"/>
        <v>0</v>
      </c>
      <c r="T57" s="211">
        <f t="shared" si="2"/>
        <v>0</v>
      </c>
    </row>
    <row r="58" spans="14:20" x14ac:dyDescent="0.2">
      <c r="N58" s="207">
        <f t="shared" si="3"/>
        <v>95</v>
      </c>
      <c r="O58" s="211">
        <f t="shared" si="7"/>
        <v>0.98333333333333239</v>
      </c>
      <c r="P58" s="211">
        <f t="shared" si="6"/>
        <v>0.8866666666666676</v>
      </c>
      <c r="Q58" s="210"/>
      <c r="R58" s="207">
        <f t="shared" si="0"/>
        <v>0.86999999999999944</v>
      </c>
      <c r="S58" s="211">
        <f t="shared" si="1"/>
        <v>0</v>
      </c>
      <c r="T58" s="211">
        <f t="shared" si="2"/>
        <v>0</v>
      </c>
    </row>
    <row r="59" spans="14:20" x14ac:dyDescent="0.2">
      <c r="N59" s="207">
        <f t="shared" si="3"/>
        <v>96</v>
      </c>
      <c r="O59" s="211">
        <f t="shared" si="7"/>
        <v>0.98266666666666569</v>
      </c>
      <c r="P59" s="211">
        <f t="shared" si="6"/>
        <v>0.88733333333333431</v>
      </c>
      <c r="Q59" s="210"/>
      <c r="R59" s="207">
        <f t="shared" si="0"/>
        <v>0.87999999999999945</v>
      </c>
      <c r="S59" s="211">
        <f t="shared" si="1"/>
        <v>0</v>
      </c>
      <c r="T59" s="211">
        <f t="shared" si="2"/>
        <v>0</v>
      </c>
    </row>
    <row r="60" spans="14:20" x14ac:dyDescent="0.2">
      <c r="N60" s="207">
        <f t="shared" si="3"/>
        <v>97</v>
      </c>
      <c r="O60" s="211">
        <f t="shared" si="7"/>
        <v>0.98199999999999898</v>
      </c>
      <c r="P60" s="211">
        <f t="shared" si="6"/>
        <v>0.88800000000000101</v>
      </c>
      <c r="Q60" s="210"/>
      <c r="R60" s="207">
        <f t="shared" si="0"/>
        <v>0.88999999999999946</v>
      </c>
      <c r="S60" s="211">
        <f t="shared" si="1"/>
        <v>0</v>
      </c>
      <c r="T60" s="211">
        <f t="shared" si="2"/>
        <v>0</v>
      </c>
    </row>
    <row r="61" spans="14:20" x14ac:dyDescent="0.2">
      <c r="N61" s="207">
        <f t="shared" si="3"/>
        <v>98</v>
      </c>
      <c r="O61" s="211">
        <f t="shared" si="7"/>
        <v>0.98133333333333228</v>
      </c>
      <c r="P61" s="211">
        <f t="shared" si="6"/>
        <v>0.88866666666666772</v>
      </c>
      <c r="Q61" s="210"/>
      <c r="R61" s="207">
        <f t="shared" si="0"/>
        <v>0.89999999999999947</v>
      </c>
      <c r="S61" s="211">
        <f t="shared" si="1"/>
        <v>0</v>
      </c>
      <c r="T61" s="211">
        <f t="shared" si="2"/>
        <v>0</v>
      </c>
    </row>
    <row r="62" spans="14:20" x14ac:dyDescent="0.2">
      <c r="N62" s="207">
        <f t="shared" si="3"/>
        <v>99</v>
      </c>
      <c r="O62" s="211">
        <f t="shared" si="7"/>
        <v>0.98066666666666558</v>
      </c>
      <c r="P62" s="211">
        <f t="shared" si="6"/>
        <v>0.88933333333333442</v>
      </c>
      <c r="Q62" s="210"/>
      <c r="R62" s="207">
        <f t="shared" si="0"/>
        <v>0.90999999999999948</v>
      </c>
      <c r="S62" s="211">
        <f t="shared" si="1"/>
        <v>0</v>
      </c>
      <c r="T62" s="211">
        <f t="shared" si="2"/>
        <v>0</v>
      </c>
    </row>
    <row r="63" spans="14:20" x14ac:dyDescent="0.2">
      <c r="N63" s="207">
        <f t="shared" si="3"/>
        <v>100</v>
      </c>
      <c r="O63" s="209">
        <f>G17</f>
        <v>0.98</v>
      </c>
      <c r="P63" s="209">
        <f>I17</f>
        <v>0.89</v>
      </c>
      <c r="R63" s="207">
        <f t="shared" si="0"/>
        <v>0.91999999999999948</v>
      </c>
      <c r="S63" s="211">
        <f t="shared" si="1"/>
        <v>0</v>
      </c>
      <c r="T63" s="211">
        <f t="shared" si="2"/>
        <v>0</v>
      </c>
    </row>
    <row r="64" spans="14:20" x14ac:dyDescent="0.2">
      <c r="N64" s="207">
        <f t="shared" si="3"/>
        <v>101</v>
      </c>
      <c r="O64" s="211">
        <f>O63+((O$83-O$63)/ROWS($N$64:$N$83))</f>
        <v>0.98049999999999993</v>
      </c>
      <c r="P64" s="211">
        <f t="shared" ref="P64:P79" si="8">P63+((P$83-P$63)/ROWS($N$64:$N$83))</f>
        <v>0.89050000000000007</v>
      </c>
      <c r="Q64" s="210"/>
      <c r="R64" s="207">
        <f t="shared" si="0"/>
        <v>0.92999999999999949</v>
      </c>
      <c r="S64" s="211">
        <f t="shared" si="1"/>
        <v>0</v>
      </c>
      <c r="T64" s="211">
        <f t="shared" si="2"/>
        <v>0</v>
      </c>
    </row>
    <row r="65" spans="14:20" x14ac:dyDescent="0.2">
      <c r="N65" s="207">
        <f t="shared" si="3"/>
        <v>102</v>
      </c>
      <c r="O65" s="211">
        <f t="shared" ref="O65:O82" si="9">O64+((O$83-O$63)/ROWS($N$64:$N$83))</f>
        <v>0.98099999999999987</v>
      </c>
      <c r="P65" s="211">
        <f t="shared" si="8"/>
        <v>0.89100000000000001</v>
      </c>
      <c r="Q65" s="210"/>
      <c r="R65" s="207">
        <f t="shared" si="0"/>
        <v>0.9399999999999995</v>
      </c>
      <c r="S65" s="211">
        <f t="shared" si="1"/>
        <v>0</v>
      </c>
      <c r="T65" s="211">
        <f t="shared" si="2"/>
        <v>0</v>
      </c>
    </row>
    <row r="66" spans="14:20" x14ac:dyDescent="0.2">
      <c r="N66" s="207">
        <f t="shared" si="3"/>
        <v>103</v>
      </c>
      <c r="O66" s="211">
        <f t="shared" si="9"/>
        <v>0.98149999999999982</v>
      </c>
      <c r="P66" s="211">
        <f t="shared" si="8"/>
        <v>0.89149999999999996</v>
      </c>
      <c r="Q66" s="210"/>
      <c r="R66" s="207">
        <f t="shared" si="0"/>
        <v>0.94999999999999951</v>
      </c>
      <c r="S66" s="211">
        <f t="shared" si="1"/>
        <v>0</v>
      </c>
      <c r="T66" s="211">
        <f t="shared" si="2"/>
        <v>0</v>
      </c>
    </row>
    <row r="67" spans="14:20" x14ac:dyDescent="0.2">
      <c r="N67" s="207">
        <f t="shared" si="3"/>
        <v>104</v>
      </c>
      <c r="O67" s="211">
        <f t="shared" si="9"/>
        <v>0.98199999999999976</v>
      </c>
      <c r="P67" s="211">
        <f t="shared" si="8"/>
        <v>0.8919999999999999</v>
      </c>
      <c r="Q67" s="210"/>
      <c r="R67" s="207">
        <f t="shared" ref="R67:R110" si="10">R68-0.01</f>
        <v>0.95999999999999952</v>
      </c>
      <c r="S67" s="211">
        <f t="shared" ref="S67:S112" si="11">$V$115*R67+$V$116</f>
        <v>0</v>
      </c>
      <c r="T67" s="211">
        <f t="shared" si="2"/>
        <v>0</v>
      </c>
    </row>
    <row r="68" spans="14:20" x14ac:dyDescent="0.2">
      <c r="N68" s="207">
        <f t="shared" si="3"/>
        <v>105</v>
      </c>
      <c r="O68" s="211">
        <f t="shared" si="9"/>
        <v>0.98249999999999971</v>
      </c>
      <c r="P68" s="211">
        <f t="shared" si="8"/>
        <v>0.89249999999999985</v>
      </c>
      <c r="Q68" s="210"/>
      <c r="R68" s="207">
        <f t="shared" si="10"/>
        <v>0.96999999999999953</v>
      </c>
      <c r="S68" s="211">
        <f t="shared" si="11"/>
        <v>0</v>
      </c>
      <c r="T68" s="211">
        <f t="shared" ref="T68:T110" si="12">$W$115*R68+$W$116</f>
        <v>0</v>
      </c>
    </row>
    <row r="69" spans="14:20" x14ac:dyDescent="0.2">
      <c r="N69" s="207">
        <f t="shared" ref="N69:N113" si="13">N68+1</f>
        <v>106</v>
      </c>
      <c r="O69" s="211">
        <f t="shared" si="9"/>
        <v>0.98299999999999965</v>
      </c>
      <c r="P69" s="211">
        <f t="shared" si="8"/>
        <v>0.89299999999999979</v>
      </c>
      <c r="Q69" s="210"/>
      <c r="R69" s="207">
        <f t="shared" si="10"/>
        <v>0.97999999999999954</v>
      </c>
      <c r="S69" s="211">
        <f t="shared" si="11"/>
        <v>0</v>
      </c>
      <c r="T69" s="211">
        <f t="shared" si="12"/>
        <v>0</v>
      </c>
    </row>
    <row r="70" spans="14:20" x14ac:dyDescent="0.2">
      <c r="N70" s="207">
        <f t="shared" si="13"/>
        <v>107</v>
      </c>
      <c r="O70" s="211">
        <f t="shared" si="9"/>
        <v>0.9834999999999996</v>
      </c>
      <c r="P70" s="211">
        <f t="shared" si="8"/>
        <v>0.89349999999999974</v>
      </c>
      <c r="Q70" s="210"/>
      <c r="R70" s="207">
        <f t="shared" si="10"/>
        <v>0.98999999999999955</v>
      </c>
      <c r="S70" s="211">
        <f t="shared" si="11"/>
        <v>0</v>
      </c>
      <c r="T70" s="211">
        <f t="shared" si="12"/>
        <v>0</v>
      </c>
    </row>
    <row r="71" spans="14:20" x14ac:dyDescent="0.2">
      <c r="N71" s="207">
        <f t="shared" si="13"/>
        <v>108</v>
      </c>
      <c r="O71" s="211">
        <f t="shared" si="9"/>
        <v>0.98399999999999954</v>
      </c>
      <c r="P71" s="211">
        <f t="shared" si="8"/>
        <v>0.89399999999999968</v>
      </c>
      <c r="Q71" s="210"/>
      <c r="R71" s="207">
        <f t="shared" si="10"/>
        <v>0.99999999999999956</v>
      </c>
      <c r="S71" s="211">
        <f t="shared" si="11"/>
        <v>0</v>
      </c>
      <c r="T71" s="211">
        <f t="shared" si="12"/>
        <v>0</v>
      </c>
    </row>
    <row r="72" spans="14:20" x14ac:dyDescent="0.2">
      <c r="N72" s="207">
        <f t="shared" si="13"/>
        <v>109</v>
      </c>
      <c r="O72" s="211">
        <f t="shared" si="9"/>
        <v>0.98449999999999949</v>
      </c>
      <c r="P72" s="211">
        <f t="shared" si="8"/>
        <v>0.89449999999999963</v>
      </c>
      <c r="Q72" s="210"/>
      <c r="R72" s="207">
        <f t="shared" si="10"/>
        <v>1.0099999999999996</v>
      </c>
      <c r="S72" s="211">
        <f t="shared" si="11"/>
        <v>0</v>
      </c>
      <c r="T72" s="211">
        <f t="shared" si="12"/>
        <v>0</v>
      </c>
    </row>
    <row r="73" spans="14:20" x14ac:dyDescent="0.2">
      <c r="N73" s="207">
        <f t="shared" si="13"/>
        <v>110</v>
      </c>
      <c r="O73" s="211">
        <f t="shared" si="9"/>
        <v>0.98499999999999943</v>
      </c>
      <c r="P73" s="211">
        <f t="shared" si="8"/>
        <v>0.89499999999999957</v>
      </c>
      <c r="Q73" s="210"/>
      <c r="R73" s="207">
        <f t="shared" si="10"/>
        <v>1.0199999999999996</v>
      </c>
      <c r="S73" s="211">
        <f t="shared" si="11"/>
        <v>0</v>
      </c>
      <c r="T73" s="211">
        <f t="shared" si="12"/>
        <v>0</v>
      </c>
    </row>
    <row r="74" spans="14:20" x14ac:dyDescent="0.2">
      <c r="N74" s="207">
        <f t="shared" si="13"/>
        <v>111</v>
      </c>
      <c r="O74" s="211">
        <f t="shared" si="9"/>
        <v>0.98549999999999938</v>
      </c>
      <c r="P74" s="211">
        <f t="shared" si="8"/>
        <v>0.89549999999999952</v>
      </c>
      <c r="Q74" s="210"/>
      <c r="R74" s="207">
        <f t="shared" si="10"/>
        <v>1.0299999999999996</v>
      </c>
      <c r="S74" s="211">
        <f t="shared" si="11"/>
        <v>0</v>
      </c>
      <c r="T74" s="211">
        <f t="shared" si="12"/>
        <v>0</v>
      </c>
    </row>
    <row r="75" spans="14:20" x14ac:dyDescent="0.2">
      <c r="N75" s="207">
        <f t="shared" si="13"/>
        <v>112</v>
      </c>
      <c r="O75" s="211">
        <f t="shared" si="9"/>
        <v>0.98599999999999932</v>
      </c>
      <c r="P75" s="211">
        <f t="shared" si="8"/>
        <v>0.89599999999999946</v>
      </c>
      <c r="Q75" s="210"/>
      <c r="R75" s="207">
        <f t="shared" si="10"/>
        <v>1.0399999999999996</v>
      </c>
      <c r="S75" s="211">
        <f t="shared" si="11"/>
        <v>0</v>
      </c>
      <c r="T75" s="211">
        <f t="shared" si="12"/>
        <v>0</v>
      </c>
    </row>
    <row r="76" spans="14:20" x14ac:dyDescent="0.2">
      <c r="N76" s="207">
        <f t="shared" si="13"/>
        <v>113</v>
      </c>
      <c r="O76" s="211">
        <f t="shared" si="9"/>
        <v>0.98649999999999927</v>
      </c>
      <c r="P76" s="211">
        <f t="shared" si="8"/>
        <v>0.89649999999999941</v>
      </c>
      <c r="Q76" s="210"/>
      <c r="R76" s="207">
        <f t="shared" si="10"/>
        <v>1.0499999999999996</v>
      </c>
      <c r="S76" s="211">
        <f t="shared" si="11"/>
        <v>0</v>
      </c>
      <c r="T76" s="211">
        <f t="shared" si="12"/>
        <v>0</v>
      </c>
    </row>
    <row r="77" spans="14:20" x14ac:dyDescent="0.2">
      <c r="N77" s="207">
        <f t="shared" si="13"/>
        <v>114</v>
      </c>
      <c r="O77" s="211">
        <f t="shared" si="9"/>
        <v>0.98699999999999921</v>
      </c>
      <c r="P77" s="211">
        <f t="shared" si="8"/>
        <v>0.89699999999999935</v>
      </c>
      <c r="Q77" s="210"/>
      <c r="R77" s="207">
        <f t="shared" si="10"/>
        <v>1.0599999999999996</v>
      </c>
      <c r="S77" s="211">
        <f t="shared" si="11"/>
        <v>0</v>
      </c>
      <c r="T77" s="211">
        <f t="shared" si="12"/>
        <v>0</v>
      </c>
    </row>
    <row r="78" spans="14:20" x14ac:dyDescent="0.2">
      <c r="N78" s="207">
        <f t="shared" si="13"/>
        <v>115</v>
      </c>
      <c r="O78" s="211">
        <f t="shared" si="9"/>
        <v>0.98749999999999916</v>
      </c>
      <c r="P78" s="211">
        <f t="shared" si="8"/>
        <v>0.8974999999999993</v>
      </c>
      <c r="Q78" s="210"/>
      <c r="R78" s="207">
        <f t="shared" si="10"/>
        <v>1.0699999999999996</v>
      </c>
      <c r="S78" s="211">
        <f t="shared" si="11"/>
        <v>0</v>
      </c>
      <c r="T78" s="211">
        <f t="shared" si="12"/>
        <v>0</v>
      </c>
    </row>
    <row r="79" spans="14:20" x14ac:dyDescent="0.2">
      <c r="N79" s="207">
        <f t="shared" si="13"/>
        <v>116</v>
      </c>
      <c r="O79" s="211">
        <f t="shared" si="9"/>
        <v>0.9879999999999991</v>
      </c>
      <c r="P79" s="211">
        <f t="shared" si="8"/>
        <v>0.89799999999999924</v>
      </c>
      <c r="Q79" s="210"/>
      <c r="R79" s="207">
        <f t="shared" si="10"/>
        <v>1.0799999999999996</v>
      </c>
      <c r="S79" s="211">
        <f t="shared" si="11"/>
        <v>0</v>
      </c>
      <c r="T79" s="211">
        <f t="shared" si="12"/>
        <v>0</v>
      </c>
    </row>
    <row r="80" spans="14:20" x14ac:dyDescent="0.2">
      <c r="N80" s="207">
        <f t="shared" si="13"/>
        <v>117</v>
      </c>
      <c r="O80" s="211">
        <f t="shared" si="9"/>
        <v>0.98849999999999905</v>
      </c>
      <c r="P80" s="211">
        <f>P79+((P$83-P$63)/ROWS($N$64:$N$83))</f>
        <v>0.89849999999999919</v>
      </c>
      <c r="Q80" s="210"/>
      <c r="R80" s="207">
        <f t="shared" si="10"/>
        <v>1.0899999999999996</v>
      </c>
      <c r="S80" s="211">
        <f t="shared" si="11"/>
        <v>0</v>
      </c>
      <c r="T80" s="211">
        <f t="shared" si="12"/>
        <v>0</v>
      </c>
    </row>
    <row r="81" spans="14:20" x14ac:dyDescent="0.2">
      <c r="N81" s="207">
        <f t="shared" si="13"/>
        <v>118</v>
      </c>
      <c r="O81" s="211">
        <f t="shared" si="9"/>
        <v>0.98899999999999899</v>
      </c>
      <c r="P81" s="211">
        <f>P80+((P$83-P$63)/ROWS($N$64:$N$83))</f>
        <v>0.89899999999999913</v>
      </c>
      <c r="Q81" s="210"/>
      <c r="R81" s="207">
        <f t="shared" si="10"/>
        <v>1.0999999999999996</v>
      </c>
      <c r="S81" s="211">
        <f t="shared" si="11"/>
        <v>0</v>
      </c>
      <c r="T81" s="211">
        <f t="shared" si="12"/>
        <v>0</v>
      </c>
    </row>
    <row r="82" spans="14:20" x14ac:dyDescent="0.2">
      <c r="N82" s="207">
        <f t="shared" si="13"/>
        <v>119</v>
      </c>
      <c r="O82" s="211">
        <f t="shared" si="9"/>
        <v>0.98949999999999894</v>
      </c>
      <c r="P82" s="211">
        <f>P81+((P$83-P$63)/ROWS($N$64:$N$83))</f>
        <v>0.89949999999999908</v>
      </c>
      <c r="Q82" s="210"/>
      <c r="R82" s="207">
        <f t="shared" si="10"/>
        <v>1.1099999999999997</v>
      </c>
      <c r="S82" s="211">
        <f t="shared" si="11"/>
        <v>0</v>
      </c>
      <c r="T82" s="211">
        <f t="shared" si="12"/>
        <v>0</v>
      </c>
    </row>
    <row r="83" spans="14:20" x14ac:dyDescent="0.2">
      <c r="N83" s="207">
        <f t="shared" si="13"/>
        <v>120</v>
      </c>
      <c r="O83" s="209">
        <f>G18</f>
        <v>0.99</v>
      </c>
      <c r="P83" s="209">
        <f>I18</f>
        <v>0.9</v>
      </c>
      <c r="R83" s="207">
        <f t="shared" si="10"/>
        <v>1.1199999999999997</v>
      </c>
      <c r="S83" s="211">
        <f t="shared" si="11"/>
        <v>0</v>
      </c>
      <c r="T83" s="211">
        <f t="shared" si="12"/>
        <v>0</v>
      </c>
    </row>
    <row r="84" spans="14:20" x14ac:dyDescent="0.2">
      <c r="N84" s="207">
        <f t="shared" si="13"/>
        <v>121</v>
      </c>
      <c r="O84" s="211">
        <f>O83+((O$113-O$83)/ROWS($N$84:$N$113))</f>
        <v>0.9906666666666667</v>
      </c>
      <c r="P84" s="211">
        <f t="shared" ref="P84:P112" si="14">P83+((P$113-P$83)/ROWS($N$84:$N$113))</f>
        <v>0.9</v>
      </c>
      <c r="Q84" s="210"/>
      <c r="R84" s="207">
        <f t="shared" si="10"/>
        <v>1.1299999999999997</v>
      </c>
      <c r="S84" s="211">
        <f t="shared" si="11"/>
        <v>0</v>
      </c>
      <c r="T84" s="211">
        <f t="shared" si="12"/>
        <v>0</v>
      </c>
    </row>
    <row r="85" spans="14:20" x14ac:dyDescent="0.2">
      <c r="N85" s="207">
        <f t="shared" si="13"/>
        <v>122</v>
      </c>
      <c r="O85" s="211">
        <f t="shared" ref="O85:O112" si="15">O84+((O$113-O$83)/ROWS($N$84:$N$113))</f>
        <v>0.9913333333333334</v>
      </c>
      <c r="P85" s="211">
        <f t="shared" si="14"/>
        <v>0.9</v>
      </c>
      <c r="Q85" s="210"/>
      <c r="R85" s="207">
        <f t="shared" si="10"/>
        <v>1.1399999999999997</v>
      </c>
      <c r="S85" s="211">
        <f t="shared" si="11"/>
        <v>0</v>
      </c>
      <c r="T85" s="211">
        <f t="shared" si="12"/>
        <v>0</v>
      </c>
    </row>
    <row r="86" spans="14:20" x14ac:dyDescent="0.2">
      <c r="N86" s="207">
        <f t="shared" si="13"/>
        <v>123</v>
      </c>
      <c r="O86" s="211">
        <f t="shared" si="15"/>
        <v>0.9920000000000001</v>
      </c>
      <c r="P86" s="211">
        <f t="shared" si="14"/>
        <v>0.9</v>
      </c>
      <c r="Q86" s="210"/>
      <c r="R86" s="207">
        <f t="shared" si="10"/>
        <v>1.1499999999999997</v>
      </c>
      <c r="S86" s="211">
        <f t="shared" si="11"/>
        <v>0</v>
      </c>
      <c r="T86" s="211">
        <f t="shared" si="12"/>
        <v>0</v>
      </c>
    </row>
    <row r="87" spans="14:20" x14ac:dyDescent="0.2">
      <c r="N87" s="207">
        <f t="shared" si="13"/>
        <v>124</v>
      </c>
      <c r="O87" s="211">
        <f t="shared" si="15"/>
        <v>0.99266666666666681</v>
      </c>
      <c r="P87" s="211">
        <f t="shared" si="14"/>
        <v>0.9</v>
      </c>
      <c r="Q87" s="210"/>
      <c r="R87" s="207">
        <f t="shared" si="10"/>
        <v>1.1599999999999997</v>
      </c>
      <c r="S87" s="211">
        <f t="shared" si="11"/>
        <v>0</v>
      </c>
      <c r="T87" s="211">
        <f t="shared" si="12"/>
        <v>0</v>
      </c>
    </row>
    <row r="88" spans="14:20" x14ac:dyDescent="0.2">
      <c r="N88" s="207">
        <f t="shared" si="13"/>
        <v>125</v>
      </c>
      <c r="O88" s="211">
        <f t="shared" si="15"/>
        <v>0.99333333333333351</v>
      </c>
      <c r="P88" s="211">
        <f t="shared" si="14"/>
        <v>0.9</v>
      </c>
      <c r="Q88" s="210"/>
      <c r="R88" s="207">
        <f t="shared" si="10"/>
        <v>1.1699999999999997</v>
      </c>
      <c r="S88" s="211">
        <f t="shared" si="11"/>
        <v>0</v>
      </c>
      <c r="T88" s="211">
        <f t="shared" si="12"/>
        <v>0</v>
      </c>
    </row>
    <row r="89" spans="14:20" x14ac:dyDescent="0.2">
      <c r="N89" s="207">
        <f t="shared" si="13"/>
        <v>126</v>
      </c>
      <c r="O89" s="211">
        <f t="shared" si="15"/>
        <v>0.99400000000000022</v>
      </c>
      <c r="P89" s="211">
        <f t="shared" si="14"/>
        <v>0.9</v>
      </c>
      <c r="Q89" s="210"/>
      <c r="R89" s="207">
        <f t="shared" si="10"/>
        <v>1.1799999999999997</v>
      </c>
      <c r="S89" s="211">
        <f t="shared" si="11"/>
        <v>0</v>
      </c>
      <c r="T89" s="211">
        <f t="shared" si="12"/>
        <v>0</v>
      </c>
    </row>
    <row r="90" spans="14:20" x14ac:dyDescent="0.2">
      <c r="N90" s="207">
        <f t="shared" si="13"/>
        <v>127</v>
      </c>
      <c r="O90" s="211">
        <f t="shared" si="15"/>
        <v>0.99466666666666692</v>
      </c>
      <c r="P90" s="211">
        <f t="shared" si="14"/>
        <v>0.9</v>
      </c>
      <c r="Q90" s="210"/>
      <c r="R90" s="207">
        <f t="shared" si="10"/>
        <v>1.1899999999999997</v>
      </c>
      <c r="S90" s="211">
        <f t="shared" si="11"/>
        <v>0</v>
      </c>
      <c r="T90" s="211">
        <f t="shared" si="12"/>
        <v>0</v>
      </c>
    </row>
    <row r="91" spans="14:20" x14ac:dyDescent="0.2">
      <c r="N91" s="207">
        <f t="shared" si="13"/>
        <v>128</v>
      </c>
      <c r="O91" s="211">
        <f t="shared" si="15"/>
        <v>0.99533333333333363</v>
      </c>
      <c r="P91" s="211">
        <f t="shared" si="14"/>
        <v>0.9</v>
      </c>
      <c r="Q91" s="210"/>
      <c r="R91" s="207">
        <f t="shared" si="10"/>
        <v>1.1999999999999997</v>
      </c>
      <c r="S91" s="211">
        <f t="shared" si="11"/>
        <v>0</v>
      </c>
      <c r="T91" s="211">
        <f t="shared" si="12"/>
        <v>0</v>
      </c>
    </row>
    <row r="92" spans="14:20" x14ac:dyDescent="0.2">
      <c r="N92" s="207">
        <f t="shared" si="13"/>
        <v>129</v>
      </c>
      <c r="O92" s="211">
        <f t="shared" si="15"/>
        <v>0.99600000000000033</v>
      </c>
      <c r="P92" s="211">
        <f t="shared" si="14"/>
        <v>0.9</v>
      </c>
      <c r="Q92" s="210"/>
      <c r="R92" s="207">
        <f t="shared" si="10"/>
        <v>1.2099999999999997</v>
      </c>
      <c r="S92" s="211">
        <f t="shared" si="11"/>
        <v>0</v>
      </c>
      <c r="T92" s="211">
        <f t="shared" si="12"/>
        <v>0</v>
      </c>
    </row>
    <row r="93" spans="14:20" x14ac:dyDescent="0.2">
      <c r="N93" s="207">
        <f t="shared" si="13"/>
        <v>130</v>
      </c>
      <c r="O93" s="211">
        <f t="shared" si="15"/>
        <v>0.99666666666666703</v>
      </c>
      <c r="P93" s="211">
        <f t="shared" si="14"/>
        <v>0.9</v>
      </c>
      <c r="Q93" s="210"/>
      <c r="R93" s="207">
        <f t="shared" si="10"/>
        <v>1.2199999999999998</v>
      </c>
      <c r="S93" s="211">
        <f t="shared" si="11"/>
        <v>0</v>
      </c>
      <c r="T93" s="211">
        <f t="shared" si="12"/>
        <v>0</v>
      </c>
    </row>
    <row r="94" spans="14:20" x14ac:dyDescent="0.2">
      <c r="N94" s="207">
        <f t="shared" si="13"/>
        <v>131</v>
      </c>
      <c r="O94" s="211">
        <f t="shared" si="15"/>
        <v>0.99733333333333374</v>
      </c>
      <c r="P94" s="211">
        <f t="shared" si="14"/>
        <v>0.9</v>
      </c>
      <c r="Q94" s="210"/>
      <c r="R94" s="207">
        <f t="shared" si="10"/>
        <v>1.2299999999999998</v>
      </c>
      <c r="S94" s="211">
        <f t="shared" si="11"/>
        <v>0</v>
      </c>
      <c r="T94" s="211">
        <f t="shared" si="12"/>
        <v>0</v>
      </c>
    </row>
    <row r="95" spans="14:20" x14ac:dyDescent="0.2">
      <c r="N95" s="207">
        <f t="shared" si="13"/>
        <v>132</v>
      </c>
      <c r="O95" s="211">
        <f t="shared" si="15"/>
        <v>0.99800000000000044</v>
      </c>
      <c r="P95" s="211">
        <f t="shared" si="14"/>
        <v>0.9</v>
      </c>
      <c r="Q95" s="210"/>
      <c r="R95" s="207">
        <f t="shared" si="10"/>
        <v>1.2399999999999998</v>
      </c>
      <c r="S95" s="211">
        <f t="shared" si="11"/>
        <v>0</v>
      </c>
      <c r="T95" s="211">
        <f t="shared" si="12"/>
        <v>0</v>
      </c>
    </row>
    <row r="96" spans="14:20" x14ac:dyDescent="0.2">
      <c r="N96" s="207">
        <f t="shared" si="13"/>
        <v>133</v>
      </c>
      <c r="O96" s="211">
        <f t="shared" si="15"/>
        <v>0.99866666666666715</v>
      </c>
      <c r="P96" s="211">
        <f t="shared" si="14"/>
        <v>0.9</v>
      </c>
      <c r="Q96" s="210"/>
      <c r="R96" s="207">
        <f t="shared" si="10"/>
        <v>1.2499999999999998</v>
      </c>
      <c r="S96" s="211">
        <f t="shared" si="11"/>
        <v>0</v>
      </c>
      <c r="T96" s="211">
        <f t="shared" si="12"/>
        <v>0</v>
      </c>
    </row>
    <row r="97" spans="14:20" x14ac:dyDescent="0.2">
      <c r="N97" s="207">
        <f t="shared" si="13"/>
        <v>134</v>
      </c>
      <c r="O97" s="211">
        <f t="shared" si="15"/>
        <v>0.99933333333333385</v>
      </c>
      <c r="P97" s="211">
        <f t="shared" si="14"/>
        <v>0.9</v>
      </c>
      <c r="Q97" s="210"/>
      <c r="R97" s="207">
        <f t="shared" si="10"/>
        <v>1.2599999999999998</v>
      </c>
      <c r="S97" s="211">
        <f t="shared" si="11"/>
        <v>0</v>
      </c>
      <c r="T97" s="211">
        <f t="shared" si="12"/>
        <v>0</v>
      </c>
    </row>
    <row r="98" spans="14:20" x14ac:dyDescent="0.2">
      <c r="N98" s="207">
        <f t="shared" si="13"/>
        <v>135</v>
      </c>
      <c r="O98" s="211">
        <f t="shared" si="15"/>
        <v>1.0000000000000004</v>
      </c>
      <c r="P98" s="211">
        <f t="shared" si="14"/>
        <v>0.9</v>
      </c>
      <c r="Q98" s="210"/>
      <c r="R98" s="207">
        <f t="shared" si="10"/>
        <v>1.2699999999999998</v>
      </c>
      <c r="S98" s="211">
        <f t="shared" si="11"/>
        <v>0</v>
      </c>
      <c r="T98" s="211">
        <f t="shared" si="12"/>
        <v>0</v>
      </c>
    </row>
    <row r="99" spans="14:20" x14ac:dyDescent="0.2">
      <c r="N99" s="207">
        <f t="shared" si="13"/>
        <v>136</v>
      </c>
      <c r="O99" s="211">
        <f t="shared" si="15"/>
        <v>1.000666666666667</v>
      </c>
      <c r="P99" s="211">
        <f t="shared" si="14"/>
        <v>0.9</v>
      </c>
      <c r="Q99" s="210"/>
      <c r="R99" s="207">
        <f t="shared" si="10"/>
        <v>1.2799999999999998</v>
      </c>
      <c r="S99" s="211">
        <f t="shared" si="11"/>
        <v>0</v>
      </c>
      <c r="T99" s="211">
        <f t="shared" si="12"/>
        <v>0</v>
      </c>
    </row>
    <row r="100" spans="14:20" x14ac:dyDescent="0.2">
      <c r="N100" s="207">
        <f t="shared" si="13"/>
        <v>137</v>
      </c>
      <c r="O100" s="211">
        <f t="shared" si="15"/>
        <v>1.0013333333333336</v>
      </c>
      <c r="P100" s="211">
        <f t="shared" si="14"/>
        <v>0.9</v>
      </c>
      <c r="Q100" s="210"/>
      <c r="R100" s="207">
        <f t="shared" si="10"/>
        <v>1.2899999999999998</v>
      </c>
      <c r="S100" s="211">
        <f t="shared" si="11"/>
        <v>0</v>
      </c>
      <c r="T100" s="211">
        <f t="shared" si="12"/>
        <v>0</v>
      </c>
    </row>
    <row r="101" spans="14:20" x14ac:dyDescent="0.2">
      <c r="N101" s="207">
        <f t="shared" si="13"/>
        <v>138</v>
      </c>
      <c r="O101" s="211">
        <f t="shared" si="15"/>
        <v>1.0020000000000002</v>
      </c>
      <c r="P101" s="211">
        <f t="shared" si="14"/>
        <v>0.9</v>
      </c>
      <c r="Q101" s="210"/>
      <c r="R101" s="207">
        <f t="shared" si="10"/>
        <v>1.2999999999999998</v>
      </c>
      <c r="S101" s="211">
        <f t="shared" si="11"/>
        <v>0</v>
      </c>
      <c r="T101" s="211">
        <f t="shared" si="12"/>
        <v>0</v>
      </c>
    </row>
    <row r="102" spans="14:20" x14ac:dyDescent="0.2">
      <c r="N102" s="207">
        <f t="shared" si="13"/>
        <v>139</v>
      </c>
      <c r="O102" s="211">
        <f t="shared" si="15"/>
        <v>1.0026666666666668</v>
      </c>
      <c r="P102" s="211">
        <f t="shared" si="14"/>
        <v>0.9</v>
      </c>
      <c r="Q102" s="210"/>
      <c r="R102" s="207">
        <f t="shared" si="10"/>
        <v>1.3099999999999998</v>
      </c>
      <c r="S102" s="211">
        <f t="shared" si="11"/>
        <v>0</v>
      </c>
      <c r="T102" s="211">
        <f t="shared" si="12"/>
        <v>0</v>
      </c>
    </row>
    <row r="103" spans="14:20" x14ac:dyDescent="0.2">
      <c r="N103" s="207">
        <f t="shared" si="13"/>
        <v>140</v>
      </c>
      <c r="O103" s="211">
        <f t="shared" si="15"/>
        <v>1.0033333333333334</v>
      </c>
      <c r="P103" s="211">
        <f t="shared" si="14"/>
        <v>0.9</v>
      </c>
      <c r="Q103" s="210"/>
      <c r="R103" s="207">
        <f t="shared" si="10"/>
        <v>1.3199999999999998</v>
      </c>
      <c r="S103" s="211">
        <f t="shared" si="11"/>
        <v>0</v>
      </c>
      <c r="T103" s="211">
        <f t="shared" si="12"/>
        <v>0</v>
      </c>
    </row>
    <row r="104" spans="14:20" x14ac:dyDescent="0.2">
      <c r="N104" s="207">
        <f t="shared" si="13"/>
        <v>141</v>
      </c>
      <c r="O104" s="211">
        <f t="shared" si="15"/>
        <v>1.004</v>
      </c>
      <c r="P104" s="211">
        <f t="shared" si="14"/>
        <v>0.9</v>
      </c>
      <c r="Q104" s="210"/>
      <c r="R104" s="207">
        <f t="shared" si="10"/>
        <v>1.3299999999999998</v>
      </c>
      <c r="S104" s="211">
        <f t="shared" si="11"/>
        <v>0</v>
      </c>
      <c r="T104" s="211">
        <f t="shared" si="12"/>
        <v>0</v>
      </c>
    </row>
    <row r="105" spans="14:20" x14ac:dyDescent="0.2">
      <c r="N105" s="207">
        <f t="shared" si="13"/>
        <v>142</v>
      </c>
      <c r="O105" s="211">
        <f t="shared" si="15"/>
        <v>1.0046666666666666</v>
      </c>
      <c r="P105" s="211">
        <f t="shared" si="14"/>
        <v>0.9</v>
      </c>
      <c r="Q105" s="210"/>
      <c r="R105" s="207">
        <f t="shared" si="10"/>
        <v>1.3399999999999999</v>
      </c>
      <c r="S105" s="211">
        <f t="shared" si="11"/>
        <v>0</v>
      </c>
      <c r="T105" s="211">
        <f t="shared" si="12"/>
        <v>0</v>
      </c>
    </row>
    <row r="106" spans="14:20" x14ac:dyDescent="0.2">
      <c r="N106" s="207">
        <f t="shared" si="13"/>
        <v>143</v>
      </c>
      <c r="O106" s="211">
        <f t="shared" si="15"/>
        <v>1.0053333333333332</v>
      </c>
      <c r="P106" s="211">
        <f t="shared" si="14"/>
        <v>0.9</v>
      </c>
      <c r="Q106" s="210"/>
      <c r="R106" s="207">
        <f t="shared" si="10"/>
        <v>1.3499999999999999</v>
      </c>
      <c r="S106" s="211">
        <f t="shared" si="11"/>
        <v>0</v>
      </c>
      <c r="T106" s="211">
        <f t="shared" si="12"/>
        <v>0</v>
      </c>
    </row>
    <row r="107" spans="14:20" x14ac:dyDescent="0.2">
      <c r="N107" s="207">
        <f t="shared" si="13"/>
        <v>144</v>
      </c>
      <c r="O107" s="211">
        <f t="shared" si="15"/>
        <v>1.0059999999999998</v>
      </c>
      <c r="P107" s="211">
        <f t="shared" si="14"/>
        <v>0.9</v>
      </c>
      <c r="Q107" s="210"/>
      <c r="R107" s="207">
        <f t="shared" si="10"/>
        <v>1.3599999999999999</v>
      </c>
      <c r="S107" s="211">
        <f t="shared" si="11"/>
        <v>0</v>
      </c>
      <c r="T107" s="211">
        <f t="shared" si="12"/>
        <v>0</v>
      </c>
    </row>
    <row r="108" spans="14:20" x14ac:dyDescent="0.2">
      <c r="N108" s="207">
        <f t="shared" si="13"/>
        <v>145</v>
      </c>
      <c r="O108" s="211">
        <f t="shared" si="15"/>
        <v>1.0066666666666664</v>
      </c>
      <c r="P108" s="211">
        <f t="shared" si="14"/>
        <v>0.9</v>
      </c>
      <c r="Q108" s="210"/>
      <c r="R108" s="207">
        <f t="shared" si="10"/>
        <v>1.3699999999999999</v>
      </c>
      <c r="S108" s="211">
        <f t="shared" si="11"/>
        <v>0</v>
      </c>
      <c r="T108" s="211">
        <f t="shared" si="12"/>
        <v>0</v>
      </c>
    </row>
    <row r="109" spans="14:20" x14ac:dyDescent="0.2">
      <c r="N109" s="207">
        <f t="shared" si="13"/>
        <v>146</v>
      </c>
      <c r="O109" s="211">
        <f t="shared" si="15"/>
        <v>1.007333333333333</v>
      </c>
      <c r="P109" s="211">
        <f t="shared" si="14"/>
        <v>0.9</v>
      </c>
      <c r="Q109" s="210"/>
      <c r="R109" s="207">
        <f t="shared" si="10"/>
        <v>1.38</v>
      </c>
      <c r="S109" s="211">
        <f t="shared" si="11"/>
        <v>0</v>
      </c>
      <c r="T109" s="211">
        <f t="shared" si="12"/>
        <v>0</v>
      </c>
    </row>
    <row r="110" spans="14:20" x14ac:dyDescent="0.2">
      <c r="N110" s="207">
        <f t="shared" si="13"/>
        <v>147</v>
      </c>
      <c r="O110" s="211">
        <f t="shared" si="15"/>
        <v>1.0079999999999996</v>
      </c>
      <c r="P110" s="211">
        <f t="shared" si="14"/>
        <v>0.9</v>
      </c>
      <c r="Q110" s="210"/>
      <c r="R110" s="207">
        <f t="shared" si="10"/>
        <v>1.39</v>
      </c>
      <c r="S110" s="211">
        <f t="shared" si="11"/>
        <v>0</v>
      </c>
      <c r="T110" s="211">
        <f t="shared" si="12"/>
        <v>0</v>
      </c>
    </row>
    <row r="111" spans="14:20" x14ac:dyDescent="0.2">
      <c r="N111" s="207">
        <f t="shared" si="13"/>
        <v>148</v>
      </c>
      <c r="O111" s="211">
        <f t="shared" si="15"/>
        <v>1.0086666666666662</v>
      </c>
      <c r="P111" s="211">
        <f t="shared" si="14"/>
        <v>0.9</v>
      </c>
      <c r="Q111" s="210"/>
      <c r="R111" s="207">
        <f>R112-0.01</f>
        <v>1.4</v>
      </c>
      <c r="S111" s="211">
        <f t="shared" si="11"/>
        <v>0</v>
      </c>
      <c r="T111" s="211">
        <f>$W$115*R111+$W$116</f>
        <v>0</v>
      </c>
    </row>
    <row r="112" spans="14:20" ht="13.5" thickBot="1" x14ac:dyDescent="0.25">
      <c r="N112" s="207">
        <f t="shared" si="13"/>
        <v>149</v>
      </c>
      <c r="O112" s="211">
        <f t="shared" si="15"/>
        <v>1.0093333333333327</v>
      </c>
      <c r="P112" s="211">
        <f t="shared" si="14"/>
        <v>0.9</v>
      </c>
      <c r="Q112" s="210"/>
      <c r="R112" s="207">
        <f>R113-0.01</f>
        <v>1.41</v>
      </c>
      <c r="S112" s="211">
        <f t="shared" si="11"/>
        <v>0</v>
      </c>
      <c r="T112" s="211">
        <f>$W$115*R112+$W$116</f>
        <v>0</v>
      </c>
    </row>
    <row r="113" spans="14:20" ht="13.5" thickBot="1" x14ac:dyDescent="0.25">
      <c r="N113" s="207">
        <f t="shared" si="13"/>
        <v>150</v>
      </c>
      <c r="O113" s="209">
        <f>G19</f>
        <v>1.01</v>
      </c>
      <c r="P113" s="209">
        <f>I19</f>
        <v>0.9</v>
      </c>
      <c r="R113" s="212">
        <f>E15</f>
        <v>1.42</v>
      </c>
      <c r="S113" s="213">
        <f>G15</f>
        <v>1.17</v>
      </c>
      <c r="T113" s="214">
        <f>I15</f>
        <v>0.84</v>
      </c>
    </row>
    <row r="114" spans="14:20" x14ac:dyDescent="0.2">
      <c r="R114" s="207">
        <f>R113+0.01</f>
        <v>1.43</v>
      </c>
      <c r="S114" s="211">
        <f t="shared" ref="S114:T129" si="16">S113+((S$226-S$113)/ROWS($R$114:$R$226))</f>
        <v>1.1684955752212389</v>
      </c>
      <c r="T114" s="211">
        <f t="shared" si="16"/>
        <v>0.8402654867256637</v>
      </c>
    </row>
    <row r="115" spans="14:20" x14ac:dyDescent="0.2">
      <c r="R115" s="207">
        <f t="shared" ref="R115:R178" si="17">R114+0.01</f>
        <v>1.44</v>
      </c>
      <c r="S115" s="211">
        <f t="shared" si="16"/>
        <v>1.1669911504424779</v>
      </c>
      <c r="T115" s="211">
        <f t="shared" si="16"/>
        <v>0.84053097345132743</v>
      </c>
    </row>
    <row r="116" spans="14:20" x14ac:dyDescent="0.2">
      <c r="R116" s="207">
        <f t="shared" si="17"/>
        <v>1.45</v>
      </c>
      <c r="S116" s="211">
        <f t="shared" si="16"/>
        <v>1.1654867256637169</v>
      </c>
      <c r="T116" s="211">
        <f t="shared" si="16"/>
        <v>0.84079646017699117</v>
      </c>
    </row>
    <row r="117" spans="14:20" x14ac:dyDescent="0.2">
      <c r="R117" s="207">
        <f t="shared" si="17"/>
        <v>1.46</v>
      </c>
      <c r="S117" s="211">
        <f t="shared" si="16"/>
        <v>1.1639823008849559</v>
      </c>
      <c r="T117" s="211">
        <f t="shared" si="16"/>
        <v>0.8410619469026549</v>
      </c>
    </row>
    <row r="118" spans="14:20" x14ac:dyDescent="0.2">
      <c r="R118" s="207">
        <f t="shared" si="17"/>
        <v>1.47</v>
      </c>
      <c r="S118" s="211">
        <f t="shared" si="16"/>
        <v>1.1624778761061949</v>
      </c>
      <c r="T118" s="211">
        <f t="shared" si="16"/>
        <v>0.84132743362831863</v>
      </c>
    </row>
    <row r="119" spans="14:20" x14ac:dyDescent="0.2">
      <c r="R119" s="207">
        <f t="shared" si="17"/>
        <v>1.48</v>
      </c>
      <c r="S119" s="211">
        <f t="shared" si="16"/>
        <v>1.1609734513274339</v>
      </c>
      <c r="T119" s="211">
        <f t="shared" si="16"/>
        <v>0.84159292035398237</v>
      </c>
    </row>
    <row r="120" spans="14:20" x14ac:dyDescent="0.2">
      <c r="R120" s="207">
        <f t="shared" si="17"/>
        <v>1.49</v>
      </c>
      <c r="S120" s="211">
        <f t="shared" si="16"/>
        <v>1.1594690265486729</v>
      </c>
      <c r="T120" s="211">
        <f t="shared" si="16"/>
        <v>0.8418584070796461</v>
      </c>
    </row>
    <row r="121" spans="14:20" x14ac:dyDescent="0.2">
      <c r="R121" s="207">
        <f t="shared" si="17"/>
        <v>1.5</v>
      </c>
      <c r="S121" s="211">
        <f t="shared" si="16"/>
        <v>1.1579646017699119</v>
      </c>
      <c r="T121" s="211">
        <f t="shared" si="16"/>
        <v>0.84212389380530983</v>
      </c>
    </row>
    <row r="122" spans="14:20" x14ac:dyDescent="0.2">
      <c r="R122" s="207">
        <f t="shared" si="17"/>
        <v>1.51</v>
      </c>
      <c r="S122" s="211">
        <f t="shared" si="16"/>
        <v>1.1564601769911509</v>
      </c>
      <c r="T122" s="211">
        <f t="shared" si="16"/>
        <v>0.84238938053097356</v>
      </c>
    </row>
    <row r="123" spans="14:20" x14ac:dyDescent="0.2">
      <c r="R123" s="207">
        <f t="shared" si="17"/>
        <v>1.52</v>
      </c>
      <c r="S123" s="211">
        <f t="shared" si="16"/>
        <v>1.1549557522123899</v>
      </c>
      <c r="T123" s="211">
        <f t="shared" si="16"/>
        <v>0.8426548672566373</v>
      </c>
    </row>
    <row r="124" spans="14:20" x14ac:dyDescent="0.2">
      <c r="R124" s="207">
        <f t="shared" si="17"/>
        <v>1.53</v>
      </c>
      <c r="S124" s="211">
        <f t="shared" si="16"/>
        <v>1.1534513274336289</v>
      </c>
      <c r="T124" s="211">
        <f t="shared" si="16"/>
        <v>0.84292035398230103</v>
      </c>
    </row>
    <row r="125" spans="14:20" x14ac:dyDescent="0.2">
      <c r="R125" s="207">
        <f t="shared" si="17"/>
        <v>1.54</v>
      </c>
      <c r="S125" s="211">
        <f t="shared" si="16"/>
        <v>1.1519469026548679</v>
      </c>
      <c r="T125" s="211">
        <f t="shared" si="16"/>
        <v>0.84318584070796476</v>
      </c>
    </row>
    <row r="126" spans="14:20" x14ac:dyDescent="0.2">
      <c r="R126" s="207">
        <f t="shared" si="17"/>
        <v>1.55</v>
      </c>
      <c r="S126" s="211">
        <f t="shared" si="16"/>
        <v>1.1504424778761069</v>
      </c>
      <c r="T126" s="211">
        <f t="shared" si="16"/>
        <v>0.84345132743362849</v>
      </c>
    </row>
    <row r="127" spans="14:20" x14ac:dyDescent="0.2">
      <c r="R127" s="207">
        <f t="shared" si="17"/>
        <v>1.56</v>
      </c>
      <c r="S127" s="211">
        <f t="shared" si="16"/>
        <v>1.1489380530973459</v>
      </c>
      <c r="T127" s="211">
        <f t="shared" si="16"/>
        <v>0.84371681415929223</v>
      </c>
    </row>
    <row r="128" spans="14:20" x14ac:dyDescent="0.2">
      <c r="R128" s="207">
        <f t="shared" si="17"/>
        <v>1.57</v>
      </c>
      <c r="S128" s="211">
        <f t="shared" si="16"/>
        <v>1.1474336283185849</v>
      </c>
      <c r="T128" s="211">
        <f t="shared" si="16"/>
        <v>0.84398230088495596</v>
      </c>
    </row>
    <row r="129" spans="18:20" x14ac:dyDescent="0.2">
      <c r="R129" s="207">
        <f t="shared" si="17"/>
        <v>1.58</v>
      </c>
      <c r="S129" s="211">
        <f t="shared" si="16"/>
        <v>1.1459292035398239</v>
      </c>
      <c r="T129" s="211">
        <f t="shared" si="16"/>
        <v>0.84424778761061969</v>
      </c>
    </row>
    <row r="130" spans="18:20" x14ac:dyDescent="0.2">
      <c r="R130" s="207">
        <f t="shared" si="17"/>
        <v>1.59</v>
      </c>
      <c r="S130" s="211">
        <f t="shared" ref="S130:T145" si="18">S129+((S$226-S$113)/ROWS($R$114:$R$226))</f>
        <v>1.1444247787610629</v>
      </c>
      <c r="T130" s="211">
        <f t="shared" si="18"/>
        <v>0.84451327433628343</v>
      </c>
    </row>
    <row r="131" spans="18:20" x14ac:dyDescent="0.2">
      <c r="R131" s="207">
        <f t="shared" si="17"/>
        <v>1.6</v>
      </c>
      <c r="S131" s="211">
        <f t="shared" si="18"/>
        <v>1.1429203539823019</v>
      </c>
      <c r="T131" s="211">
        <f t="shared" si="18"/>
        <v>0.84477876106194716</v>
      </c>
    </row>
    <row r="132" spans="18:20" x14ac:dyDescent="0.2">
      <c r="R132" s="207">
        <f t="shared" si="17"/>
        <v>1.61</v>
      </c>
      <c r="S132" s="211">
        <f t="shared" si="18"/>
        <v>1.1414159292035408</v>
      </c>
      <c r="T132" s="211">
        <f t="shared" si="18"/>
        <v>0.84504424778761089</v>
      </c>
    </row>
    <row r="133" spans="18:20" x14ac:dyDescent="0.2">
      <c r="R133" s="207">
        <f t="shared" si="17"/>
        <v>1.62</v>
      </c>
      <c r="S133" s="211">
        <f t="shared" si="18"/>
        <v>1.1399115044247798</v>
      </c>
      <c r="T133" s="211">
        <f t="shared" si="18"/>
        <v>0.84530973451327462</v>
      </c>
    </row>
    <row r="134" spans="18:20" x14ac:dyDescent="0.2">
      <c r="R134" s="207">
        <f t="shared" si="17"/>
        <v>1.6300000000000001</v>
      </c>
      <c r="S134" s="211">
        <f t="shared" si="18"/>
        <v>1.1384070796460188</v>
      </c>
      <c r="T134" s="211">
        <f t="shared" si="18"/>
        <v>0.84557522123893836</v>
      </c>
    </row>
    <row r="135" spans="18:20" x14ac:dyDescent="0.2">
      <c r="R135" s="207">
        <f t="shared" si="17"/>
        <v>1.6400000000000001</v>
      </c>
      <c r="S135" s="211">
        <f t="shared" si="18"/>
        <v>1.1369026548672578</v>
      </c>
      <c r="T135" s="211">
        <f t="shared" si="18"/>
        <v>0.84584070796460209</v>
      </c>
    </row>
    <row r="136" spans="18:20" x14ac:dyDescent="0.2">
      <c r="R136" s="207">
        <f t="shared" si="17"/>
        <v>1.6500000000000001</v>
      </c>
      <c r="S136" s="211">
        <f t="shared" si="18"/>
        <v>1.1353982300884968</v>
      </c>
      <c r="T136" s="211">
        <f t="shared" si="18"/>
        <v>0.84610619469026582</v>
      </c>
    </row>
    <row r="137" spans="18:20" x14ac:dyDescent="0.2">
      <c r="R137" s="207">
        <f t="shared" si="17"/>
        <v>1.6600000000000001</v>
      </c>
      <c r="S137" s="211">
        <f t="shared" si="18"/>
        <v>1.1338938053097358</v>
      </c>
      <c r="T137" s="211">
        <f t="shared" si="18"/>
        <v>0.84637168141592956</v>
      </c>
    </row>
    <row r="138" spans="18:20" x14ac:dyDescent="0.2">
      <c r="R138" s="207">
        <f t="shared" si="17"/>
        <v>1.6700000000000002</v>
      </c>
      <c r="S138" s="211">
        <f t="shared" si="18"/>
        <v>1.1323893805309748</v>
      </c>
      <c r="T138" s="211">
        <f t="shared" si="18"/>
        <v>0.84663716814159329</v>
      </c>
    </row>
    <row r="139" spans="18:20" x14ac:dyDescent="0.2">
      <c r="R139" s="207">
        <f t="shared" si="17"/>
        <v>1.6800000000000002</v>
      </c>
      <c r="S139" s="211">
        <f t="shared" si="18"/>
        <v>1.1308849557522138</v>
      </c>
      <c r="T139" s="211">
        <f t="shared" si="18"/>
        <v>0.84690265486725702</v>
      </c>
    </row>
    <row r="140" spans="18:20" x14ac:dyDescent="0.2">
      <c r="R140" s="207">
        <f t="shared" si="17"/>
        <v>1.6900000000000002</v>
      </c>
      <c r="S140" s="211">
        <f t="shared" si="18"/>
        <v>1.1293805309734528</v>
      </c>
      <c r="T140" s="211">
        <f t="shared" si="18"/>
        <v>0.84716814159292075</v>
      </c>
    </row>
    <row r="141" spans="18:20" x14ac:dyDescent="0.2">
      <c r="R141" s="207">
        <f t="shared" si="17"/>
        <v>1.7000000000000002</v>
      </c>
      <c r="S141" s="211">
        <f t="shared" si="18"/>
        <v>1.1278761061946918</v>
      </c>
      <c r="T141" s="211">
        <f t="shared" si="18"/>
        <v>0.84743362831858449</v>
      </c>
    </row>
    <row r="142" spans="18:20" x14ac:dyDescent="0.2">
      <c r="R142" s="207">
        <f t="shared" si="17"/>
        <v>1.7100000000000002</v>
      </c>
      <c r="S142" s="211">
        <f t="shared" si="18"/>
        <v>1.1263716814159308</v>
      </c>
      <c r="T142" s="211">
        <f t="shared" si="18"/>
        <v>0.84769911504424822</v>
      </c>
    </row>
    <row r="143" spans="18:20" x14ac:dyDescent="0.2">
      <c r="R143" s="207">
        <f t="shared" si="17"/>
        <v>1.7200000000000002</v>
      </c>
      <c r="S143" s="211">
        <f t="shared" si="18"/>
        <v>1.1248672566371698</v>
      </c>
      <c r="T143" s="211">
        <f t="shared" si="18"/>
        <v>0.84796460176991195</v>
      </c>
    </row>
    <row r="144" spans="18:20" x14ac:dyDescent="0.2">
      <c r="R144" s="207">
        <f t="shared" si="17"/>
        <v>1.7300000000000002</v>
      </c>
      <c r="S144" s="211">
        <f t="shared" si="18"/>
        <v>1.1233628318584088</v>
      </c>
      <c r="T144" s="211">
        <f t="shared" si="18"/>
        <v>0.84823008849557568</v>
      </c>
    </row>
    <row r="145" spans="18:20" x14ac:dyDescent="0.2">
      <c r="R145" s="207">
        <f t="shared" si="17"/>
        <v>1.7400000000000002</v>
      </c>
      <c r="S145" s="211">
        <f t="shared" si="18"/>
        <v>1.1218584070796478</v>
      </c>
      <c r="T145" s="211">
        <f t="shared" si="18"/>
        <v>0.84849557522123942</v>
      </c>
    </row>
    <row r="146" spans="18:20" x14ac:dyDescent="0.2">
      <c r="R146" s="207">
        <f t="shared" si="17"/>
        <v>1.7500000000000002</v>
      </c>
      <c r="S146" s="211">
        <f t="shared" ref="S146:T161" si="19">S145+((S$226-S$113)/ROWS($R$114:$R$226))</f>
        <v>1.1203539823008868</v>
      </c>
      <c r="T146" s="211">
        <f t="shared" si="19"/>
        <v>0.84876106194690315</v>
      </c>
    </row>
    <row r="147" spans="18:20" x14ac:dyDescent="0.2">
      <c r="R147" s="207">
        <f t="shared" si="17"/>
        <v>1.7600000000000002</v>
      </c>
      <c r="S147" s="211">
        <f t="shared" si="19"/>
        <v>1.1188495575221258</v>
      </c>
      <c r="T147" s="211">
        <f t="shared" si="19"/>
        <v>0.84902654867256688</v>
      </c>
    </row>
    <row r="148" spans="18:20" x14ac:dyDescent="0.2">
      <c r="R148" s="207">
        <f t="shared" si="17"/>
        <v>1.7700000000000002</v>
      </c>
      <c r="S148" s="211">
        <f t="shared" si="19"/>
        <v>1.1173451327433648</v>
      </c>
      <c r="T148" s="211">
        <f t="shared" si="19"/>
        <v>0.84929203539823062</v>
      </c>
    </row>
    <row r="149" spans="18:20" x14ac:dyDescent="0.2">
      <c r="R149" s="207">
        <f t="shared" si="17"/>
        <v>1.7800000000000002</v>
      </c>
      <c r="S149" s="211">
        <f t="shared" si="19"/>
        <v>1.1158407079646038</v>
      </c>
      <c r="T149" s="211">
        <f t="shared" si="19"/>
        <v>0.84955752212389435</v>
      </c>
    </row>
    <row r="150" spans="18:20" x14ac:dyDescent="0.2">
      <c r="R150" s="207">
        <f t="shared" si="17"/>
        <v>1.7900000000000003</v>
      </c>
      <c r="S150" s="211">
        <f t="shared" si="19"/>
        <v>1.1143362831858428</v>
      </c>
      <c r="T150" s="211">
        <f t="shared" si="19"/>
        <v>0.84982300884955808</v>
      </c>
    </row>
    <row r="151" spans="18:20" x14ac:dyDescent="0.2">
      <c r="R151" s="207">
        <f t="shared" si="17"/>
        <v>1.8000000000000003</v>
      </c>
      <c r="S151" s="211">
        <f t="shared" si="19"/>
        <v>1.1128318584070818</v>
      </c>
      <c r="T151" s="211">
        <f t="shared" si="19"/>
        <v>0.85008849557522181</v>
      </c>
    </row>
    <row r="152" spans="18:20" x14ac:dyDescent="0.2">
      <c r="R152" s="207">
        <f t="shared" si="17"/>
        <v>1.8100000000000003</v>
      </c>
      <c r="S152" s="211">
        <f t="shared" si="19"/>
        <v>1.1113274336283208</v>
      </c>
      <c r="T152" s="211">
        <f t="shared" si="19"/>
        <v>0.85035398230088555</v>
      </c>
    </row>
    <row r="153" spans="18:20" x14ac:dyDescent="0.2">
      <c r="R153" s="207">
        <f t="shared" si="17"/>
        <v>1.8200000000000003</v>
      </c>
      <c r="S153" s="211">
        <f t="shared" si="19"/>
        <v>1.1098230088495598</v>
      </c>
      <c r="T153" s="211">
        <f t="shared" si="19"/>
        <v>0.85061946902654928</v>
      </c>
    </row>
    <row r="154" spans="18:20" x14ac:dyDescent="0.2">
      <c r="R154" s="207">
        <f t="shared" si="17"/>
        <v>1.8300000000000003</v>
      </c>
      <c r="S154" s="211">
        <f t="shared" si="19"/>
        <v>1.1083185840707988</v>
      </c>
      <c r="T154" s="211">
        <f t="shared" si="19"/>
        <v>0.85088495575221301</v>
      </c>
    </row>
    <row r="155" spans="18:20" x14ac:dyDescent="0.2">
      <c r="R155" s="207">
        <f t="shared" si="17"/>
        <v>1.8400000000000003</v>
      </c>
      <c r="S155" s="211">
        <f t="shared" si="19"/>
        <v>1.1068141592920377</v>
      </c>
      <c r="T155" s="211">
        <f t="shared" si="19"/>
        <v>0.85115044247787675</v>
      </c>
    </row>
    <row r="156" spans="18:20" x14ac:dyDescent="0.2">
      <c r="R156" s="207">
        <f t="shared" si="17"/>
        <v>1.8500000000000003</v>
      </c>
      <c r="S156" s="211">
        <f t="shared" si="19"/>
        <v>1.1053097345132767</v>
      </c>
      <c r="T156" s="211">
        <f t="shared" si="19"/>
        <v>0.85141592920354048</v>
      </c>
    </row>
    <row r="157" spans="18:20" x14ac:dyDescent="0.2">
      <c r="R157" s="207">
        <f t="shared" si="17"/>
        <v>1.8600000000000003</v>
      </c>
      <c r="S157" s="211">
        <f t="shared" si="19"/>
        <v>1.1038053097345157</v>
      </c>
      <c r="T157" s="211">
        <f t="shared" si="19"/>
        <v>0.85168141592920421</v>
      </c>
    </row>
    <row r="158" spans="18:20" x14ac:dyDescent="0.2">
      <c r="R158" s="207">
        <f t="shared" si="17"/>
        <v>1.8700000000000003</v>
      </c>
      <c r="S158" s="211">
        <f t="shared" si="19"/>
        <v>1.1023008849557547</v>
      </c>
      <c r="T158" s="211">
        <f t="shared" si="19"/>
        <v>0.85194690265486794</v>
      </c>
    </row>
    <row r="159" spans="18:20" x14ac:dyDescent="0.2">
      <c r="R159" s="207">
        <f t="shared" si="17"/>
        <v>1.8800000000000003</v>
      </c>
      <c r="S159" s="211">
        <f t="shared" si="19"/>
        <v>1.1007964601769937</v>
      </c>
      <c r="T159" s="211">
        <f t="shared" si="19"/>
        <v>0.85221238938053168</v>
      </c>
    </row>
    <row r="160" spans="18:20" x14ac:dyDescent="0.2">
      <c r="R160" s="207">
        <f t="shared" si="17"/>
        <v>1.8900000000000003</v>
      </c>
      <c r="S160" s="211">
        <f t="shared" si="19"/>
        <v>1.0992920353982327</v>
      </c>
      <c r="T160" s="211">
        <f t="shared" si="19"/>
        <v>0.85247787610619541</v>
      </c>
    </row>
    <row r="161" spans="18:20" x14ac:dyDescent="0.2">
      <c r="R161" s="207">
        <f t="shared" si="17"/>
        <v>1.9000000000000004</v>
      </c>
      <c r="S161" s="211">
        <f t="shared" si="19"/>
        <v>1.0977876106194717</v>
      </c>
      <c r="T161" s="211">
        <f t="shared" si="19"/>
        <v>0.85274336283185914</v>
      </c>
    </row>
    <row r="162" spans="18:20" x14ac:dyDescent="0.2">
      <c r="R162" s="207">
        <f t="shared" si="17"/>
        <v>1.9100000000000004</v>
      </c>
      <c r="S162" s="211">
        <f t="shared" ref="S162:T177" si="20">S161+((S$226-S$113)/ROWS($R$114:$R$226))</f>
        <v>1.0962831858407107</v>
      </c>
      <c r="T162" s="211">
        <f t="shared" si="20"/>
        <v>0.85300884955752287</v>
      </c>
    </row>
    <row r="163" spans="18:20" x14ac:dyDescent="0.2">
      <c r="R163" s="207">
        <f t="shared" si="17"/>
        <v>1.9200000000000004</v>
      </c>
      <c r="S163" s="211">
        <f t="shared" si="20"/>
        <v>1.0947787610619497</v>
      </c>
      <c r="T163" s="211">
        <f t="shared" si="20"/>
        <v>0.85327433628318661</v>
      </c>
    </row>
    <row r="164" spans="18:20" x14ac:dyDescent="0.2">
      <c r="R164" s="207">
        <f t="shared" si="17"/>
        <v>1.9300000000000004</v>
      </c>
      <c r="S164" s="211">
        <f t="shared" si="20"/>
        <v>1.0932743362831887</v>
      </c>
      <c r="T164" s="211">
        <f t="shared" si="20"/>
        <v>0.85353982300885034</v>
      </c>
    </row>
    <row r="165" spans="18:20" x14ac:dyDescent="0.2">
      <c r="R165" s="207">
        <f t="shared" si="17"/>
        <v>1.9400000000000004</v>
      </c>
      <c r="S165" s="211">
        <f t="shared" si="20"/>
        <v>1.0917699115044277</v>
      </c>
      <c r="T165" s="211">
        <f t="shared" si="20"/>
        <v>0.85380530973451407</v>
      </c>
    </row>
    <row r="166" spans="18:20" x14ac:dyDescent="0.2">
      <c r="R166" s="207">
        <f t="shared" si="17"/>
        <v>1.9500000000000004</v>
      </c>
      <c r="S166" s="211">
        <f t="shared" si="20"/>
        <v>1.0902654867256667</v>
      </c>
      <c r="T166" s="211">
        <f t="shared" si="20"/>
        <v>0.85407079646017781</v>
      </c>
    </row>
    <row r="167" spans="18:20" x14ac:dyDescent="0.2">
      <c r="R167" s="207">
        <f t="shared" si="17"/>
        <v>1.9600000000000004</v>
      </c>
      <c r="S167" s="211">
        <f t="shared" si="20"/>
        <v>1.0887610619469057</v>
      </c>
      <c r="T167" s="211">
        <f t="shared" si="20"/>
        <v>0.85433628318584154</v>
      </c>
    </row>
    <row r="168" spans="18:20" x14ac:dyDescent="0.2">
      <c r="R168" s="207">
        <f t="shared" si="17"/>
        <v>1.9700000000000004</v>
      </c>
      <c r="S168" s="211">
        <f t="shared" si="20"/>
        <v>1.0872566371681447</v>
      </c>
      <c r="T168" s="211">
        <f t="shared" si="20"/>
        <v>0.85460176991150527</v>
      </c>
    </row>
    <row r="169" spans="18:20" x14ac:dyDescent="0.2">
      <c r="R169" s="207">
        <f t="shared" si="17"/>
        <v>1.9800000000000004</v>
      </c>
      <c r="S169" s="211">
        <f t="shared" si="20"/>
        <v>1.0857522123893837</v>
      </c>
      <c r="T169" s="211">
        <f t="shared" si="20"/>
        <v>0.854867256637169</v>
      </c>
    </row>
    <row r="170" spans="18:20" x14ac:dyDescent="0.2">
      <c r="R170" s="207">
        <f t="shared" si="17"/>
        <v>1.9900000000000004</v>
      </c>
      <c r="S170" s="211">
        <f t="shared" si="20"/>
        <v>1.0842477876106227</v>
      </c>
      <c r="T170" s="211">
        <f t="shared" si="20"/>
        <v>0.85513274336283274</v>
      </c>
    </row>
    <row r="171" spans="18:20" x14ac:dyDescent="0.2">
      <c r="R171" s="207">
        <f t="shared" si="17"/>
        <v>2.0000000000000004</v>
      </c>
      <c r="S171" s="211">
        <f t="shared" si="20"/>
        <v>1.0827433628318617</v>
      </c>
      <c r="T171" s="211">
        <f t="shared" si="20"/>
        <v>0.85539823008849647</v>
      </c>
    </row>
    <row r="172" spans="18:20" x14ac:dyDescent="0.2">
      <c r="R172" s="207">
        <f t="shared" si="17"/>
        <v>2.0100000000000002</v>
      </c>
      <c r="S172" s="211">
        <f t="shared" si="20"/>
        <v>1.0812389380531007</v>
      </c>
      <c r="T172" s="211">
        <f t="shared" si="20"/>
        <v>0.8556637168141602</v>
      </c>
    </row>
    <row r="173" spans="18:20" x14ac:dyDescent="0.2">
      <c r="R173" s="207">
        <f t="shared" si="17"/>
        <v>2.02</v>
      </c>
      <c r="S173" s="211">
        <f t="shared" si="20"/>
        <v>1.0797345132743397</v>
      </c>
      <c r="T173" s="211">
        <f t="shared" si="20"/>
        <v>0.85592920353982394</v>
      </c>
    </row>
    <row r="174" spans="18:20" x14ac:dyDescent="0.2">
      <c r="R174" s="207">
        <f t="shared" si="17"/>
        <v>2.0299999999999998</v>
      </c>
      <c r="S174" s="211">
        <f t="shared" si="20"/>
        <v>1.0782300884955787</v>
      </c>
      <c r="T174" s="211">
        <f t="shared" si="20"/>
        <v>0.85619469026548767</v>
      </c>
    </row>
    <row r="175" spans="18:20" x14ac:dyDescent="0.2">
      <c r="R175" s="207">
        <f t="shared" si="17"/>
        <v>2.0399999999999996</v>
      </c>
      <c r="S175" s="211">
        <f t="shared" si="20"/>
        <v>1.0767256637168177</v>
      </c>
      <c r="T175" s="211">
        <f t="shared" si="20"/>
        <v>0.8564601769911514</v>
      </c>
    </row>
    <row r="176" spans="18:20" x14ac:dyDescent="0.2">
      <c r="R176" s="207">
        <f t="shared" si="17"/>
        <v>2.0499999999999994</v>
      </c>
      <c r="S176" s="211">
        <f t="shared" si="20"/>
        <v>1.0752212389380567</v>
      </c>
      <c r="T176" s="211">
        <f t="shared" si="20"/>
        <v>0.85672566371681513</v>
      </c>
    </row>
    <row r="177" spans="18:20" x14ac:dyDescent="0.2">
      <c r="R177" s="207">
        <f t="shared" si="17"/>
        <v>2.0599999999999992</v>
      </c>
      <c r="S177" s="211">
        <f t="shared" si="20"/>
        <v>1.0737168141592957</v>
      </c>
      <c r="T177" s="211">
        <f t="shared" si="20"/>
        <v>0.85699115044247887</v>
      </c>
    </row>
    <row r="178" spans="18:20" x14ac:dyDescent="0.2">
      <c r="R178" s="207">
        <f t="shared" si="17"/>
        <v>2.069999999999999</v>
      </c>
      <c r="S178" s="211">
        <f t="shared" ref="S178:T193" si="21">S177+((S$226-S$113)/ROWS($R$114:$R$226))</f>
        <v>1.0722123893805346</v>
      </c>
      <c r="T178" s="211">
        <f t="shared" si="21"/>
        <v>0.8572566371681426</v>
      </c>
    </row>
    <row r="179" spans="18:20" x14ac:dyDescent="0.2">
      <c r="R179" s="207">
        <f t="shared" ref="R179:R242" si="22">R178+0.01</f>
        <v>2.0799999999999987</v>
      </c>
      <c r="S179" s="211">
        <f t="shared" si="21"/>
        <v>1.0707079646017736</v>
      </c>
      <c r="T179" s="211">
        <f t="shared" si="21"/>
        <v>0.85752212389380633</v>
      </c>
    </row>
    <row r="180" spans="18:20" x14ac:dyDescent="0.2">
      <c r="R180" s="207">
        <f t="shared" si="22"/>
        <v>2.0899999999999985</v>
      </c>
      <c r="S180" s="211">
        <f t="shared" si="21"/>
        <v>1.0692035398230126</v>
      </c>
      <c r="T180" s="211">
        <f t="shared" si="21"/>
        <v>0.85778761061947006</v>
      </c>
    </row>
    <row r="181" spans="18:20" x14ac:dyDescent="0.2">
      <c r="R181" s="207">
        <f t="shared" si="22"/>
        <v>2.0999999999999983</v>
      </c>
      <c r="S181" s="211">
        <f t="shared" si="21"/>
        <v>1.0676991150442516</v>
      </c>
      <c r="T181" s="211">
        <f t="shared" si="21"/>
        <v>0.8580530973451338</v>
      </c>
    </row>
    <row r="182" spans="18:20" x14ac:dyDescent="0.2">
      <c r="R182" s="207">
        <f t="shared" si="22"/>
        <v>2.1099999999999981</v>
      </c>
      <c r="S182" s="211">
        <f t="shared" si="21"/>
        <v>1.0661946902654906</v>
      </c>
      <c r="T182" s="211">
        <f t="shared" si="21"/>
        <v>0.85831858407079753</v>
      </c>
    </row>
    <row r="183" spans="18:20" x14ac:dyDescent="0.2">
      <c r="R183" s="207">
        <f t="shared" si="22"/>
        <v>2.1199999999999979</v>
      </c>
      <c r="S183" s="211">
        <f t="shared" si="21"/>
        <v>1.0646902654867296</v>
      </c>
      <c r="T183" s="211">
        <f t="shared" si="21"/>
        <v>0.85858407079646126</v>
      </c>
    </row>
    <row r="184" spans="18:20" x14ac:dyDescent="0.2">
      <c r="R184" s="207">
        <f t="shared" si="22"/>
        <v>2.1299999999999977</v>
      </c>
      <c r="S184" s="211">
        <f t="shared" si="21"/>
        <v>1.0631858407079686</v>
      </c>
      <c r="T184" s="211">
        <f t="shared" si="21"/>
        <v>0.858849557522125</v>
      </c>
    </row>
    <row r="185" spans="18:20" x14ac:dyDescent="0.2">
      <c r="R185" s="207">
        <f t="shared" si="22"/>
        <v>2.1399999999999975</v>
      </c>
      <c r="S185" s="211">
        <f t="shared" si="21"/>
        <v>1.0616814159292076</v>
      </c>
      <c r="T185" s="211">
        <f t="shared" si="21"/>
        <v>0.85911504424778873</v>
      </c>
    </row>
    <row r="186" spans="18:20" x14ac:dyDescent="0.2">
      <c r="R186" s="207">
        <f t="shared" si="22"/>
        <v>2.1499999999999972</v>
      </c>
      <c r="S186" s="211">
        <f t="shared" si="21"/>
        <v>1.0601769911504466</v>
      </c>
      <c r="T186" s="211">
        <f t="shared" si="21"/>
        <v>0.85938053097345246</v>
      </c>
    </row>
    <row r="187" spans="18:20" x14ac:dyDescent="0.2">
      <c r="R187" s="207">
        <f t="shared" si="22"/>
        <v>2.159999999999997</v>
      </c>
      <c r="S187" s="211">
        <f t="shared" si="21"/>
        <v>1.0586725663716856</v>
      </c>
      <c r="T187" s="211">
        <f t="shared" si="21"/>
        <v>0.85964601769911619</v>
      </c>
    </row>
    <row r="188" spans="18:20" x14ac:dyDescent="0.2">
      <c r="R188" s="207">
        <f t="shared" si="22"/>
        <v>2.1699999999999968</v>
      </c>
      <c r="S188" s="211">
        <f t="shared" si="21"/>
        <v>1.0571681415929246</v>
      </c>
      <c r="T188" s="211">
        <f t="shared" si="21"/>
        <v>0.85991150442477993</v>
      </c>
    </row>
    <row r="189" spans="18:20" x14ac:dyDescent="0.2">
      <c r="R189" s="207">
        <f t="shared" si="22"/>
        <v>2.1799999999999966</v>
      </c>
      <c r="S189" s="211">
        <f t="shared" si="21"/>
        <v>1.0556637168141636</v>
      </c>
      <c r="T189" s="211">
        <f t="shared" si="21"/>
        <v>0.86017699115044366</v>
      </c>
    </row>
    <row r="190" spans="18:20" x14ac:dyDescent="0.2">
      <c r="R190" s="207">
        <f t="shared" si="22"/>
        <v>2.1899999999999964</v>
      </c>
      <c r="S190" s="211">
        <f t="shared" si="21"/>
        <v>1.0541592920354026</v>
      </c>
      <c r="T190" s="211">
        <f t="shared" si="21"/>
        <v>0.86044247787610739</v>
      </c>
    </row>
    <row r="191" spans="18:20" x14ac:dyDescent="0.2">
      <c r="R191" s="207">
        <f t="shared" si="22"/>
        <v>2.1999999999999962</v>
      </c>
      <c r="S191" s="211">
        <f t="shared" si="21"/>
        <v>1.0526548672566416</v>
      </c>
      <c r="T191" s="211">
        <f t="shared" si="21"/>
        <v>0.86070796460177112</v>
      </c>
    </row>
    <row r="192" spans="18:20" x14ac:dyDescent="0.2">
      <c r="R192" s="207">
        <f t="shared" si="22"/>
        <v>2.209999999999996</v>
      </c>
      <c r="S192" s="211">
        <f t="shared" si="21"/>
        <v>1.0511504424778806</v>
      </c>
      <c r="T192" s="211">
        <f t="shared" si="21"/>
        <v>0.86097345132743486</v>
      </c>
    </row>
    <row r="193" spans="18:20" x14ac:dyDescent="0.2">
      <c r="R193" s="207">
        <f t="shared" si="22"/>
        <v>2.2199999999999958</v>
      </c>
      <c r="S193" s="211">
        <f t="shared" si="21"/>
        <v>1.0496460176991196</v>
      </c>
      <c r="T193" s="211">
        <f t="shared" si="21"/>
        <v>0.86123893805309859</v>
      </c>
    </row>
    <row r="194" spans="18:20" x14ac:dyDescent="0.2">
      <c r="R194" s="207">
        <f t="shared" si="22"/>
        <v>2.2299999999999955</v>
      </c>
      <c r="S194" s="211">
        <f t="shared" ref="S194:T209" si="23">S193+((S$226-S$113)/ROWS($R$114:$R$226))</f>
        <v>1.0481415929203586</v>
      </c>
      <c r="T194" s="211">
        <f t="shared" si="23"/>
        <v>0.86150442477876232</v>
      </c>
    </row>
    <row r="195" spans="18:20" x14ac:dyDescent="0.2">
      <c r="R195" s="207">
        <f t="shared" si="22"/>
        <v>2.2399999999999953</v>
      </c>
      <c r="S195" s="211">
        <f t="shared" si="23"/>
        <v>1.0466371681415976</v>
      </c>
      <c r="T195" s="211">
        <f t="shared" si="23"/>
        <v>0.86176991150442606</v>
      </c>
    </row>
    <row r="196" spans="18:20" x14ac:dyDescent="0.2">
      <c r="R196" s="207">
        <f t="shared" si="22"/>
        <v>2.2499999999999951</v>
      </c>
      <c r="S196" s="211">
        <f t="shared" si="23"/>
        <v>1.0451327433628366</v>
      </c>
      <c r="T196" s="211">
        <f t="shared" si="23"/>
        <v>0.86203539823008979</v>
      </c>
    </row>
    <row r="197" spans="18:20" x14ac:dyDescent="0.2">
      <c r="R197" s="207">
        <f t="shared" si="22"/>
        <v>2.2599999999999949</v>
      </c>
      <c r="S197" s="211">
        <f t="shared" si="23"/>
        <v>1.0436283185840756</v>
      </c>
      <c r="T197" s="211">
        <f t="shared" si="23"/>
        <v>0.86230088495575352</v>
      </c>
    </row>
    <row r="198" spans="18:20" x14ac:dyDescent="0.2">
      <c r="R198" s="207">
        <f t="shared" si="22"/>
        <v>2.2699999999999947</v>
      </c>
      <c r="S198" s="211">
        <f t="shared" si="23"/>
        <v>1.0421238938053146</v>
      </c>
      <c r="T198" s="211">
        <f t="shared" si="23"/>
        <v>0.86256637168141725</v>
      </c>
    </row>
    <row r="199" spans="18:20" x14ac:dyDescent="0.2">
      <c r="R199" s="207">
        <f t="shared" si="22"/>
        <v>2.2799999999999945</v>
      </c>
      <c r="S199" s="211">
        <f t="shared" si="23"/>
        <v>1.0406194690265536</v>
      </c>
      <c r="T199" s="211">
        <f t="shared" si="23"/>
        <v>0.86283185840708099</v>
      </c>
    </row>
    <row r="200" spans="18:20" x14ac:dyDescent="0.2">
      <c r="R200" s="207">
        <f t="shared" si="22"/>
        <v>2.2899999999999943</v>
      </c>
      <c r="S200" s="211">
        <f t="shared" si="23"/>
        <v>1.0391150442477926</v>
      </c>
      <c r="T200" s="211">
        <f t="shared" si="23"/>
        <v>0.86309734513274472</v>
      </c>
    </row>
    <row r="201" spans="18:20" x14ac:dyDescent="0.2">
      <c r="R201" s="207">
        <f t="shared" si="22"/>
        <v>2.299999999999994</v>
      </c>
      <c r="S201" s="211">
        <f t="shared" si="23"/>
        <v>1.0376106194690315</v>
      </c>
      <c r="T201" s="211">
        <f t="shared" si="23"/>
        <v>0.86336283185840845</v>
      </c>
    </row>
    <row r="202" spans="18:20" x14ac:dyDescent="0.2">
      <c r="R202" s="207">
        <f t="shared" si="22"/>
        <v>2.3099999999999938</v>
      </c>
      <c r="S202" s="211">
        <f t="shared" si="23"/>
        <v>1.0361061946902705</v>
      </c>
      <c r="T202" s="211">
        <f t="shared" si="23"/>
        <v>0.86362831858407219</v>
      </c>
    </row>
    <row r="203" spans="18:20" x14ac:dyDescent="0.2">
      <c r="R203" s="207">
        <f t="shared" si="22"/>
        <v>2.3199999999999936</v>
      </c>
      <c r="S203" s="211">
        <f t="shared" si="23"/>
        <v>1.0346017699115095</v>
      </c>
      <c r="T203" s="211">
        <f t="shared" si="23"/>
        <v>0.86389380530973592</v>
      </c>
    </row>
    <row r="204" spans="18:20" x14ac:dyDescent="0.2">
      <c r="R204" s="207">
        <f t="shared" si="22"/>
        <v>2.3299999999999934</v>
      </c>
      <c r="S204" s="211">
        <f t="shared" si="23"/>
        <v>1.0330973451327485</v>
      </c>
      <c r="T204" s="211">
        <f t="shared" si="23"/>
        <v>0.86415929203539965</v>
      </c>
    </row>
    <row r="205" spans="18:20" x14ac:dyDescent="0.2">
      <c r="R205" s="207">
        <f t="shared" si="22"/>
        <v>2.3399999999999932</v>
      </c>
      <c r="S205" s="211">
        <f t="shared" si="23"/>
        <v>1.0315929203539875</v>
      </c>
      <c r="T205" s="211">
        <f t="shared" si="23"/>
        <v>0.86442477876106338</v>
      </c>
    </row>
    <row r="206" spans="18:20" x14ac:dyDescent="0.2">
      <c r="R206" s="207">
        <f t="shared" si="22"/>
        <v>2.349999999999993</v>
      </c>
      <c r="S206" s="211">
        <f t="shared" si="23"/>
        <v>1.0300884955752265</v>
      </c>
      <c r="T206" s="211">
        <f t="shared" si="23"/>
        <v>0.86469026548672712</v>
      </c>
    </row>
    <row r="207" spans="18:20" x14ac:dyDescent="0.2">
      <c r="R207" s="207">
        <f t="shared" si="22"/>
        <v>2.3599999999999928</v>
      </c>
      <c r="S207" s="211">
        <f t="shared" si="23"/>
        <v>1.0285840707964655</v>
      </c>
      <c r="T207" s="211">
        <f t="shared" si="23"/>
        <v>0.86495575221239085</v>
      </c>
    </row>
    <row r="208" spans="18:20" x14ac:dyDescent="0.2">
      <c r="R208" s="207">
        <f t="shared" si="22"/>
        <v>2.3699999999999926</v>
      </c>
      <c r="S208" s="211">
        <f t="shared" si="23"/>
        <v>1.0270796460177045</v>
      </c>
      <c r="T208" s="211">
        <f t="shared" si="23"/>
        <v>0.86522123893805458</v>
      </c>
    </row>
    <row r="209" spans="18:20" x14ac:dyDescent="0.2">
      <c r="R209" s="207">
        <f t="shared" si="22"/>
        <v>2.3799999999999923</v>
      </c>
      <c r="S209" s="211">
        <f t="shared" si="23"/>
        <v>1.0255752212389435</v>
      </c>
      <c r="T209" s="211">
        <f t="shared" si="23"/>
        <v>0.86548672566371831</v>
      </c>
    </row>
    <row r="210" spans="18:20" x14ac:dyDescent="0.2">
      <c r="R210" s="207">
        <f t="shared" si="22"/>
        <v>2.3899999999999921</v>
      </c>
      <c r="S210" s="211">
        <f t="shared" ref="S210:T225" si="24">S209+((S$226-S$113)/ROWS($R$114:$R$226))</f>
        <v>1.0240707964601825</v>
      </c>
      <c r="T210" s="211">
        <f t="shared" si="24"/>
        <v>0.86575221238938205</v>
      </c>
    </row>
    <row r="211" spans="18:20" x14ac:dyDescent="0.2">
      <c r="R211" s="207">
        <f t="shared" si="22"/>
        <v>2.3999999999999919</v>
      </c>
      <c r="S211" s="211">
        <f t="shared" si="24"/>
        <v>1.0225663716814215</v>
      </c>
      <c r="T211" s="211">
        <f t="shared" si="24"/>
        <v>0.86601769911504578</v>
      </c>
    </row>
    <row r="212" spans="18:20" x14ac:dyDescent="0.2">
      <c r="R212" s="207">
        <f t="shared" si="22"/>
        <v>2.4099999999999917</v>
      </c>
      <c r="S212" s="211">
        <f t="shared" si="24"/>
        <v>1.0210619469026605</v>
      </c>
      <c r="T212" s="211">
        <f t="shared" si="24"/>
        <v>0.86628318584070951</v>
      </c>
    </row>
    <row r="213" spans="18:20" x14ac:dyDescent="0.2">
      <c r="R213" s="207">
        <f t="shared" si="22"/>
        <v>2.4199999999999915</v>
      </c>
      <c r="S213" s="211">
        <f t="shared" si="24"/>
        <v>1.0195575221238995</v>
      </c>
      <c r="T213" s="211">
        <f t="shared" si="24"/>
        <v>0.86654867256637325</v>
      </c>
    </row>
    <row r="214" spans="18:20" x14ac:dyDescent="0.2">
      <c r="R214" s="207">
        <f t="shared" si="22"/>
        <v>2.4299999999999913</v>
      </c>
      <c r="S214" s="211">
        <f t="shared" si="24"/>
        <v>1.0180530973451385</v>
      </c>
      <c r="T214" s="211">
        <f t="shared" si="24"/>
        <v>0.86681415929203698</v>
      </c>
    </row>
    <row r="215" spans="18:20" x14ac:dyDescent="0.2">
      <c r="R215" s="207">
        <f t="shared" si="22"/>
        <v>2.4399999999999911</v>
      </c>
      <c r="S215" s="211">
        <f t="shared" si="24"/>
        <v>1.0165486725663775</v>
      </c>
      <c r="T215" s="211">
        <f t="shared" si="24"/>
        <v>0.86707964601770071</v>
      </c>
    </row>
    <row r="216" spans="18:20" x14ac:dyDescent="0.2">
      <c r="R216" s="207">
        <f t="shared" si="22"/>
        <v>2.4499999999999909</v>
      </c>
      <c r="S216" s="211">
        <f t="shared" si="24"/>
        <v>1.0150442477876165</v>
      </c>
      <c r="T216" s="211">
        <f t="shared" si="24"/>
        <v>0.86734513274336444</v>
      </c>
    </row>
    <row r="217" spans="18:20" x14ac:dyDescent="0.2">
      <c r="R217" s="207">
        <f t="shared" si="22"/>
        <v>2.4599999999999906</v>
      </c>
      <c r="S217" s="211">
        <f t="shared" si="24"/>
        <v>1.0135398230088555</v>
      </c>
      <c r="T217" s="211">
        <f t="shared" si="24"/>
        <v>0.86761061946902818</v>
      </c>
    </row>
    <row r="218" spans="18:20" x14ac:dyDescent="0.2">
      <c r="R218" s="207">
        <f t="shared" si="22"/>
        <v>2.4699999999999904</v>
      </c>
      <c r="S218" s="211">
        <f t="shared" si="24"/>
        <v>1.0120353982300945</v>
      </c>
      <c r="T218" s="211">
        <f t="shared" si="24"/>
        <v>0.86787610619469191</v>
      </c>
    </row>
    <row r="219" spans="18:20" x14ac:dyDescent="0.2">
      <c r="R219" s="207">
        <f t="shared" si="22"/>
        <v>2.4799999999999902</v>
      </c>
      <c r="S219" s="211">
        <f t="shared" si="24"/>
        <v>1.0105309734513335</v>
      </c>
      <c r="T219" s="211">
        <f t="shared" si="24"/>
        <v>0.86814159292035564</v>
      </c>
    </row>
    <row r="220" spans="18:20" x14ac:dyDescent="0.2">
      <c r="R220" s="207">
        <f t="shared" si="22"/>
        <v>2.48999999999999</v>
      </c>
      <c r="S220" s="211">
        <f t="shared" si="24"/>
        <v>1.0090265486725725</v>
      </c>
      <c r="T220" s="211">
        <f t="shared" si="24"/>
        <v>0.86840707964601938</v>
      </c>
    </row>
    <row r="221" spans="18:20" x14ac:dyDescent="0.2">
      <c r="R221" s="207">
        <f t="shared" si="22"/>
        <v>2.4999999999999898</v>
      </c>
      <c r="S221" s="211">
        <f t="shared" si="24"/>
        <v>1.0075221238938115</v>
      </c>
      <c r="T221" s="211">
        <f t="shared" si="24"/>
        <v>0.86867256637168311</v>
      </c>
    </row>
    <row r="222" spans="18:20" x14ac:dyDescent="0.2">
      <c r="R222" s="207">
        <f t="shared" si="22"/>
        <v>2.5099999999999896</v>
      </c>
      <c r="S222" s="211">
        <f t="shared" si="24"/>
        <v>1.0060176991150505</v>
      </c>
      <c r="T222" s="211">
        <f t="shared" si="24"/>
        <v>0.86893805309734684</v>
      </c>
    </row>
    <row r="223" spans="18:20" x14ac:dyDescent="0.2">
      <c r="R223" s="207">
        <f t="shared" si="22"/>
        <v>2.5199999999999894</v>
      </c>
      <c r="S223" s="211">
        <f t="shared" si="24"/>
        <v>1.0045132743362895</v>
      </c>
      <c r="T223" s="211">
        <f t="shared" si="24"/>
        <v>0.86920353982301057</v>
      </c>
    </row>
    <row r="224" spans="18:20" x14ac:dyDescent="0.2">
      <c r="R224" s="207">
        <f t="shared" si="22"/>
        <v>2.5299999999999891</v>
      </c>
      <c r="S224" s="211">
        <f t="shared" si="24"/>
        <v>1.0030088495575284</v>
      </c>
      <c r="T224" s="211">
        <f t="shared" si="24"/>
        <v>0.86946902654867431</v>
      </c>
    </row>
    <row r="225" spans="18:20" x14ac:dyDescent="0.2">
      <c r="R225" s="207">
        <f t="shared" si="22"/>
        <v>2.5399999999999889</v>
      </c>
      <c r="S225" s="211">
        <f t="shared" si="24"/>
        <v>1.0015044247787674</v>
      </c>
      <c r="T225" s="211">
        <f t="shared" si="24"/>
        <v>0.86973451327433804</v>
      </c>
    </row>
    <row r="226" spans="18:20" x14ac:dyDescent="0.2">
      <c r="R226" s="207">
        <f t="shared" si="22"/>
        <v>2.5499999999999887</v>
      </c>
      <c r="S226" s="209">
        <f>G16</f>
        <v>1</v>
      </c>
      <c r="T226" s="209">
        <f>I16</f>
        <v>0.87</v>
      </c>
    </row>
    <row r="227" spans="18:20" x14ac:dyDescent="0.2">
      <c r="R227" s="207">
        <f t="shared" si="22"/>
        <v>2.5599999999999885</v>
      </c>
      <c r="S227" s="211">
        <f t="shared" ref="S227:T242" si="25">S226+((S$374-S$226)/ROWS($R$227:$R$374))</f>
        <v>0.99986486486486481</v>
      </c>
      <c r="T227" s="211">
        <f t="shared" si="25"/>
        <v>0.87013513513513518</v>
      </c>
    </row>
    <row r="228" spans="18:20" x14ac:dyDescent="0.2">
      <c r="R228" s="207">
        <f t="shared" si="22"/>
        <v>2.5699999999999883</v>
      </c>
      <c r="S228" s="211">
        <f t="shared" si="25"/>
        <v>0.99972972972972962</v>
      </c>
      <c r="T228" s="211">
        <f t="shared" si="25"/>
        <v>0.87027027027027037</v>
      </c>
    </row>
    <row r="229" spans="18:20" x14ac:dyDescent="0.2">
      <c r="R229" s="207">
        <f t="shared" si="22"/>
        <v>2.5799999999999881</v>
      </c>
      <c r="S229" s="211">
        <f t="shared" si="25"/>
        <v>0.99959459459459443</v>
      </c>
      <c r="T229" s="211">
        <f t="shared" si="25"/>
        <v>0.87040540540540556</v>
      </c>
    </row>
    <row r="230" spans="18:20" x14ac:dyDescent="0.2">
      <c r="R230" s="207">
        <f t="shared" si="22"/>
        <v>2.5899999999999879</v>
      </c>
      <c r="S230" s="211">
        <f t="shared" si="25"/>
        <v>0.99945945945945924</v>
      </c>
      <c r="T230" s="211">
        <f t="shared" si="25"/>
        <v>0.87054054054054075</v>
      </c>
    </row>
    <row r="231" spans="18:20" x14ac:dyDescent="0.2">
      <c r="R231" s="207">
        <f t="shared" si="22"/>
        <v>2.5999999999999877</v>
      </c>
      <c r="S231" s="211">
        <f t="shared" si="25"/>
        <v>0.99932432432432405</v>
      </c>
      <c r="T231" s="211">
        <f t="shared" si="25"/>
        <v>0.87067567567567594</v>
      </c>
    </row>
    <row r="232" spans="18:20" x14ac:dyDescent="0.2">
      <c r="R232" s="207">
        <f t="shared" si="22"/>
        <v>2.6099999999999874</v>
      </c>
      <c r="S232" s="211">
        <f t="shared" si="25"/>
        <v>0.99918918918918886</v>
      </c>
      <c r="T232" s="211">
        <f t="shared" si="25"/>
        <v>0.87081081081081113</v>
      </c>
    </row>
    <row r="233" spans="18:20" x14ac:dyDescent="0.2">
      <c r="R233" s="207">
        <f t="shared" si="22"/>
        <v>2.6199999999999872</v>
      </c>
      <c r="S233" s="211">
        <f t="shared" si="25"/>
        <v>0.99905405405405368</v>
      </c>
      <c r="T233" s="211">
        <f t="shared" si="25"/>
        <v>0.87094594594594632</v>
      </c>
    </row>
    <row r="234" spans="18:20" x14ac:dyDescent="0.2">
      <c r="R234" s="207">
        <f t="shared" si="22"/>
        <v>2.629999999999987</v>
      </c>
      <c r="S234" s="211">
        <f t="shared" si="25"/>
        <v>0.99891891891891849</v>
      </c>
      <c r="T234" s="211">
        <f t="shared" si="25"/>
        <v>0.87108108108108151</v>
      </c>
    </row>
    <row r="235" spans="18:20" x14ac:dyDescent="0.2">
      <c r="R235" s="207">
        <f t="shared" si="22"/>
        <v>2.6399999999999868</v>
      </c>
      <c r="S235" s="211">
        <f t="shared" si="25"/>
        <v>0.9987837837837833</v>
      </c>
      <c r="T235" s="211">
        <f t="shared" si="25"/>
        <v>0.8712162162162167</v>
      </c>
    </row>
    <row r="236" spans="18:20" x14ac:dyDescent="0.2">
      <c r="R236" s="207">
        <f t="shared" si="22"/>
        <v>2.6499999999999866</v>
      </c>
      <c r="S236" s="211">
        <f t="shared" si="25"/>
        <v>0.99864864864864811</v>
      </c>
      <c r="T236" s="211">
        <f t="shared" si="25"/>
        <v>0.87135135135135189</v>
      </c>
    </row>
    <row r="237" spans="18:20" x14ac:dyDescent="0.2">
      <c r="R237" s="207">
        <f t="shared" si="22"/>
        <v>2.6599999999999864</v>
      </c>
      <c r="S237" s="211">
        <f t="shared" si="25"/>
        <v>0.99851351351351292</v>
      </c>
      <c r="T237" s="211">
        <f t="shared" si="25"/>
        <v>0.87148648648648708</v>
      </c>
    </row>
    <row r="238" spans="18:20" x14ac:dyDescent="0.2">
      <c r="R238" s="207">
        <f t="shared" si="22"/>
        <v>2.6699999999999862</v>
      </c>
      <c r="S238" s="211">
        <f t="shared" si="25"/>
        <v>0.99837837837837773</v>
      </c>
      <c r="T238" s="211">
        <f t="shared" si="25"/>
        <v>0.87162162162162227</v>
      </c>
    </row>
    <row r="239" spans="18:20" x14ac:dyDescent="0.2">
      <c r="R239" s="207">
        <f t="shared" si="22"/>
        <v>2.6799999999999859</v>
      </c>
      <c r="S239" s="211">
        <f t="shared" si="25"/>
        <v>0.99824324324324254</v>
      </c>
      <c r="T239" s="211">
        <f t="shared" si="25"/>
        <v>0.87175675675675746</v>
      </c>
    </row>
    <row r="240" spans="18:20" x14ac:dyDescent="0.2">
      <c r="R240" s="207">
        <f t="shared" si="22"/>
        <v>2.6899999999999857</v>
      </c>
      <c r="S240" s="211">
        <f t="shared" si="25"/>
        <v>0.99810810810810735</v>
      </c>
      <c r="T240" s="211">
        <f t="shared" si="25"/>
        <v>0.87189189189189265</v>
      </c>
    </row>
    <row r="241" spans="18:20" x14ac:dyDescent="0.2">
      <c r="R241" s="207">
        <f t="shared" si="22"/>
        <v>2.6999999999999855</v>
      </c>
      <c r="S241" s="211">
        <f t="shared" si="25"/>
        <v>0.99797297297297216</v>
      </c>
      <c r="T241" s="211">
        <f t="shared" si="25"/>
        <v>0.87202702702702783</v>
      </c>
    </row>
    <row r="242" spans="18:20" x14ac:dyDescent="0.2">
      <c r="R242" s="207">
        <f t="shared" si="22"/>
        <v>2.7099999999999853</v>
      </c>
      <c r="S242" s="211">
        <f t="shared" si="25"/>
        <v>0.99783783783783697</v>
      </c>
      <c r="T242" s="211">
        <f t="shared" si="25"/>
        <v>0.87216216216216302</v>
      </c>
    </row>
    <row r="243" spans="18:20" x14ac:dyDescent="0.2">
      <c r="R243" s="207">
        <f t="shared" ref="R243:R306" si="26">R242+0.01</f>
        <v>2.7199999999999851</v>
      </c>
      <c r="S243" s="211">
        <f t="shared" ref="S243:T258" si="27">S242+((S$374-S$226)/ROWS($R$227:$R$374))</f>
        <v>0.99770270270270178</v>
      </c>
      <c r="T243" s="211">
        <f t="shared" si="27"/>
        <v>0.87229729729729821</v>
      </c>
    </row>
    <row r="244" spans="18:20" x14ac:dyDescent="0.2">
      <c r="R244" s="207">
        <f t="shared" si="26"/>
        <v>2.7299999999999849</v>
      </c>
      <c r="S244" s="211">
        <f t="shared" si="27"/>
        <v>0.99756756756756659</v>
      </c>
      <c r="T244" s="211">
        <f t="shared" si="27"/>
        <v>0.8724324324324334</v>
      </c>
    </row>
    <row r="245" spans="18:20" x14ac:dyDescent="0.2">
      <c r="R245" s="207">
        <f t="shared" si="26"/>
        <v>2.7399999999999847</v>
      </c>
      <c r="S245" s="211">
        <f t="shared" si="27"/>
        <v>0.9974324324324314</v>
      </c>
      <c r="T245" s="211">
        <f t="shared" si="27"/>
        <v>0.87256756756756859</v>
      </c>
    </row>
    <row r="246" spans="18:20" x14ac:dyDescent="0.2">
      <c r="R246" s="207">
        <f t="shared" si="26"/>
        <v>2.7499999999999845</v>
      </c>
      <c r="S246" s="211">
        <f t="shared" si="27"/>
        <v>0.99729729729729621</v>
      </c>
      <c r="T246" s="211">
        <f t="shared" si="27"/>
        <v>0.87270270270270378</v>
      </c>
    </row>
    <row r="247" spans="18:20" x14ac:dyDescent="0.2">
      <c r="R247" s="207">
        <f t="shared" si="26"/>
        <v>2.7599999999999842</v>
      </c>
      <c r="S247" s="211">
        <f t="shared" si="27"/>
        <v>0.99716216216216103</v>
      </c>
      <c r="T247" s="211">
        <f t="shared" si="27"/>
        <v>0.87283783783783897</v>
      </c>
    </row>
    <row r="248" spans="18:20" x14ac:dyDescent="0.2">
      <c r="R248" s="207">
        <f t="shared" si="26"/>
        <v>2.769999999999984</v>
      </c>
      <c r="S248" s="211">
        <f t="shared" si="27"/>
        <v>0.99702702702702584</v>
      </c>
      <c r="T248" s="211">
        <f t="shared" si="27"/>
        <v>0.87297297297297416</v>
      </c>
    </row>
    <row r="249" spans="18:20" x14ac:dyDescent="0.2">
      <c r="R249" s="207">
        <f t="shared" si="26"/>
        <v>2.7799999999999838</v>
      </c>
      <c r="S249" s="211">
        <f t="shared" si="27"/>
        <v>0.99689189189189065</v>
      </c>
      <c r="T249" s="211">
        <f t="shared" si="27"/>
        <v>0.87310810810810935</v>
      </c>
    </row>
    <row r="250" spans="18:20" x14ac:dyDescent="0.2">
      <c r="R250" s="207">
        <f t="shared" si="26"/>
        <v>2.7899999999999836</v>
      </c>
      <c r="S250" s="211">
        <f t="shared" si="27"/>
        <v>0.99675675675675546</v>
      </c>
      <c r="T250" s="211">
        <f t="shared" si="27"/>
        <v>0.87324324324324454</v>
      </c>
    </row>
    <row r="251" spans="18:20" x14ac:dyDescent="0.2">
      <c r="R251" s="207">
        <f t="shared" si="26"/>
        <v>2.7999999999999834</v>
      </c>
      <c r="S251" s="211">
        <f t="shared" si="27"/>
        <v>0.99662162162162027</v>
      </c>
      <c r="T251" s="211">
        <f t="shared" si="27"/>
        <v>0.87337837837837973</v>
      </c>
    </row>
    <row r="252" spans="18:20" x14ac:dyDescent="0.2">
      <c r="R252" s="207">
        <f t="shared" si="26"/>
        <v>2.8099999999999832</v>
      </c>
      <c r="S252" s="211">
        <f t="shared" si="27"/>
        <v>0.99648648648648508</v>
      </c>
      <c r="T252" s="211">
        <f t="shared" si="27"/>
        <v>0.87351351351351492</v>
      </c>
    </row>
    <row r="253" spans="18:20" x14ac:dyDescent="0.2">
      <c r="R253" s="207">
        <f t="shared" si="26"/>
        <v>2.819999999999983</v>
      </c>
      <c r="S253" s="211">
        <f t="shared" si="27"/>
        <v>0.99635135135134989</v>
      </c>
      <c r="T253" s="211">
        <f t="shared" si="27"/>
        <v>0.87364864864865011</v>
      </c>
    </row>
    <row r="254" spans="18:20" x14ac:dyDescent="0.2">
      <c r="R254" s="207">
        <f t="shared" si="26"/>
        <v>2.8299999999999828</v>
      </c>
      <c r="S254" s="211">
        <f t="shared" si="27"/>
        <v>0.9962162162162147</v>
      </c>
      <c r="T254" s="211">
        <f t="shared" si="27"/>
        <v>0.8737837837837853</v>
      </c>
    </row>
    <row r="255" spans="18:20" x14ac:dyDescent="0.2">
      <c r="R255" s="207">
        <f t="shared" si="26"/>
        <v>2.8399999999999825</v>
      </c>
      <c r="S255" s="211">
        <f t="shared" si="27"/>
        <v>0.99608108108107951</v>
      </c>
      <c r="T255" s="211">
        <f t="shared" si="27"/>
        <v>0.87391891891892048</v>
      </c>
    </row>
    <row r="256" spans="18:20" x14ac:dyDescent="0.2">
      <c r="R256" s="207">
        <f t="shared" si="26"/>
        <v>2.8499999999999823</v>
      </c>
      <c r="S256" s="211">
        <f t="shared" si="27"/>
        <v>0.99594594594594432</v>
      </c>
      <c r="T256" s="211">
        <f t="shared" si="27"/>
        <v>0.87405405405405567</v>
      </c>
    </row>
    <row r="257" spans="18:20" x14ac:dyDescent="0.2">
      <c r="R257" s="207">
        <f t="shared" si="26"/>
        <v>2.8599999999999821</v>
      </c>
      <c r="S257" s="211">
        <f t="shared" si="27"/>
        <v>0.99581081081080913</v>
      </c>
      <c r="T257" s="211">
        <f t="shared" si="27"/>
        <v>0.87418918918919086</v>
      </c>
    </row>
    <row r="258" spans="18:20" x14ac:dyDescent="0.2">
      <c r="R258" s="207">
        <f t="shared" si="26"/>
        <v>2.8699999999999819</v>
      </c>
      <c r="S258" s="211">
        <f t="shared" si="27"/>
        <v>0.99567567567567394</v>
      </c>
      <c r="T258" s="211">
        <f t="shared" si="27"/>
        <v>0.87432432432432605</v>
      </c>
    </row>
    <row r="259" spans="18:20" x14ac:dyDescent="0.2">
      <c r="R259" s="207">
        <f t="shared" si="26"/>
        <v>2.8799999999999817</v>
      </c>
      <c r="S259" s="211">
        <f t="shared" ref="S259:T274" si="28">S258+((S$374-S$226)/ROWS($R$227:$R$374))</f>
        <v>0.99554054054053875</v>
      </c>
      <c r="T259" s="211">
        <f t="shared" si="28"/>
        <v>0.87445945945946124</v>
      </c>
    </row>
    <row r="260" spans="18:20" x14ac:dyDescent="0.2">
      <c r="R260" s="207">
        <f t="shared" si="26"/>
        <v>2.8899999999999815</v>
      </c>
      <c r="S260" s="211">
        <f t="shared" si="28"/>
        <v>0.99540540540540356</v>
      </c>
      <c r="T260" s="211">
        <f t="shared" si="28"/>
        <v>0.87459459459459643</v>
      </c>
    </row>
    <row r="261" spans="18:20" x14ac:dyDescent="0.2">
      <c r="R261" s="207">
        <f t="shared" si="26"/>
        <v>2.8999999999999813</v>
      </c>
      <c r="S261" s="211">
        <f t="shared" si="28"/>
        <v>0.99527027027026838</v>
      </c>
      <c r="T261" s="211">
        <f t="shared" si="28"/>
        <v>0.87472972972973162</v>
      </c>
    </row>
    <row r="262" spans="18:20" x14ac:dyDescent="0.2">
      <c r="R262" s="207">
        <f t="shared" si="26"/>
        <v>2.909999999999981</v>
      </c>
      <c r="S262" s="211">
        <f t="shared" si="28"/>
        <v>0.99513513513513319</v>
      </c>
      <c r="T262" s="211">
        <f t="shared" si="28"/>
        <v>0.87486486486486681</v>
      </c>
    </row>
    <row r="263" spans="18:20" x14ac:dyDescent="0.2">
      <c r="R263" s="207">
        <f t="shared" si="26"/>
        <v>2.9199999999999808</v>
      </c>
      <c r="S263" s="211">
        <f t="shared" si="28"/>
        <v>0.994999999999998</v>
      </c>
      <c r="T263" s="211">
        <f t="shared" si="28"/>
        <v>0.875000000000002</v>
      </c>
    </row>
    <row r="264" spans="18:20" x14ac:dyDescent="0.2">
      <c r="R264" s="207">
        <f t="shared" si="26"/>
        <v>2.9299999999999806</v>
      </c>
      <c r="S264" s="211">
        <f t="shared" si="28"/>
        <v>0.99486486486486281</v>
      </c>
      <c r="T264" s="211">
        <f t="shared" si="28"/>
        <v>0.87513513513513719</v>
      </c>
    </row>
    <row r="265" spans="18:20" x14ac:dyDescent="0.2">
      <c r="R265" s="207">
        <f t="shared" si="26"/>
        <v>2.9399999999999804</v>
      </c>
      <c r="S265" s="211">
        <f t="shared" si="28"/>
        <v>0.99472972972972762</v>
      </c>
      <c r="T265" s="211">
        <f t="shared" si="28"/>
        <v>0.87527027027027238</v>
      </c>
    </row>
    <row r="266" spans="18:20" x14ac:dyDescent="0.2">
      <c r="R266" s="207">
        <f t="shared" si="26"/>
        <v>2.9499999999999802</v>
      </c>
      <c r="S266" s="211">
        <f t="shared" si="28"/>
        <v>0.99459459459459243</v>
      </c>
      <c r="T266" s="211">
        <f t="shared" si="28"/>
        <v>0.87540540540540757</v>
      </c>
    </row>
    <row r="267" spans="18:20" x14ac:dyDescent="0.2">
      <c r="R267" s="207">
        <f t="shared" si="26"/>
        <v>2.95999999999998</v>
      </c>
      <c r="S267" s="211">
        <f t="shared" si="28"/>
        <v>0.99445945945945724</v>
      </c>
      <c r="T267" s="211">
        <f t="shared" si="28"/>
        <v>0.87554054054054276</v>
      </c>
    </row>
    <row r="268" spans="18:20" x14ac:dyDescent="0.2">
      <c r="R268" s="207">
        <f t="shared" si="26"/>
        <v>2.9699999999999798</v>
      </c>
      <c r="S268" s="211">
        <f t="shared" si="28"/>
        <v>0.99432432432432205</v>
      </c>
      <c r="T268" s="211">
        <f t="shared" si="28"/>
        <v>0.87567567567567794</v>
      </c>
    </row>
    <row r="269" spans="18:20" x14ac:dyDescent="0.2">
      <c r="R269" s="207">
        <f t="shared" si="26"/>
        <v>2.9799999999999796</v>
      </c>
      <c r="S269" s="211">
        <f t="shared" si="28"/>
        <v>0.99418918918918686</v>
      </c>
      <c r="T269" s="211">
        <f t="shared" si="28"/>
        <v>0.87581081081081313</v>
      </c>
    </row>
    <row r="270" spans="18:20" x14ac:dyDescent="0.2">
      <c r="R270" s="207">
        <f t="shared" si="26"/>
        <v>2.9899999999999793</v>
      </c>
      <c r="S270" s="211">
        <f t="shared" si="28"/>
        <v>0.99405405405405167</v>
      </c>
      <c r="T270" s="211">
        <f t="shared" si="28"/>
        <v>0.87594594594594832</v>
      </c>
    </row>
    <row r="271" spans="18:20" x14ac:dyDescent="0.2">
      <c r="R271" s="207">
        <f t="shared" si="26"/>
        <v>2.9999999999999791</v>
      </c>
      <c r="S271" s="211">
        <f t="shared" si="28"/>
        <v>0.99391891891891648</v>
      </c>
      <c r="T271" s="211">
        <f t="shared" si="28"/>
        <v>0.87608108108108351</v>
      </c>
    </row>
    <row r="272" spans="18:20" x14ac:dyDescent="0.2">
      <c r="R272" s="207">
        <f t="shared" si="26"/>
        <v>3.0099999999999789</v>
      </c>
      <c r="S272" s="211">
        <f t="shared" si="28"/>
        <v>0.99378378378378129</v>
      </c>
      <c r="T272" s="211">
        <f t="shared" si="28"/>
        <v>0.8762162162162187</v>
      </c>
    </row>
    <row r="273" spans="18:20" x14ac:dyDescent="0.2">
      <c r="R273" s="207">
        <f t="shared" si="26"/>
        <v>3.0199999999999787</v>
      </c>
      <c r="S273" s="211">
        <f t="shared" si="28"/>
        <v>0.9936486486486461</v>
      </c>
      <c r="T273" s="211">
        <f t="shared" si="28"/>
        <v>0.87635135135135389</v>
      </c>
    </row>
    <row r="274" spans="18:20" x14ac:dyDescent="0.2">
      <c r="R274" s="207">
        <f t="shared" si="26"/>
        <v>3.0299999999999785</v>
      </c>
      <c r="S274" s="211">
        <f t="shared" si="28"/>
        <v>0.99351351351351092</v>
      </c>
      <c r="T274" s="211">
        <f t="shared" si="28"/>
        <v>0.87648648648648908</v>
      </c>
    </row>
    <row r="275" spans="18:20" x14ac:dyDescent="0.2">
      <c r="R275" s="207">
        <f t="shared" si="26"/>
        <v>3.0399999999999783</v>
      </c>
      <c r="S275" s="211">
        <f t="shared" ref="S275:T290" si="29">S274+((S$374-S$226)/ROWS($R$227:$R$374))</f>
        <v>0.99337837837837573</v>
      </c>
      <c r="T275" s="211">
        <f t="shared" si="29"/>
        <v>0.87662162162162427</v>
      </c>
    </row>
    <row r="276" spans="18:20" x14ac:dyDescent="0.2">
      <c r="R276" s="207">
        <f t="shared" si="26"/>
        <v>3.0499999999999781</v>
      </c>
      <c r="S276" s="211">
        <f t="shared" si="29"/>
        <v>0.99324324324324054</v>
      </c>
      <c r="T276" s="211">
        <f t="shared" si="29"/>
        <v>0.87675675675675946</v>
      </c>
    </row>
    <row r="277" spans="18:20" x14ac:dyDescent="0.2">
      <c r="R277" s="207">
        <f t="shared" si="26"/>
        <v>3.0599999999999778</v>
      </c>
      <c r="S277" s="211">
        <f t="shared" si="29"/>
        <v>0.99310810810810535</v>
      </c>
      <c r="T277" s="211">
        <f t="shared" si="29"/>
        <v>0.87689189189189465</v>
      </c>
    </row>
    <row r="278" spans="18:20" x14ac:dyDescent="0.2">
      <c r="R278" s="207">
        <f t="shared" si="26"/>
        <v>3.0699999999999776</v>
      </c>
      <c r="S278" s="211">
        <f t="shared" si="29"/>
        <v>0.99297297297297016</v>
      </c>
      <c r="T278" s="211">
        <f t="shared" si="29"/>
        <v>0.87702702702702984</v>
      </c>
    </row>
    <row r="279" spans="18:20" x14ac:dyDescent="0.2">
      <c r="R279" s="207">
        <f t="shared" si="26"/>
        <v>3.0799999999999774</v>
      </c>
      <c r="S279" s="211">
        <f t="shared" si="29"/>
        <v>0.99283783783783497</v>
      </c>
      <c r="T279" s="211">
        <f t="shared" si="29"/>
        <v>0.87716216216216503</v>
      </c>
    </row>
    <row r="280" spans="18:20" x14ac:dyDescent="0.2">
      <c r="R280" s="207">
        <f t="shared" si="26"/>
        <v>3.0899999999999772</v>
      </c>
      <c r="S280" s="211">
        <f t="shared" si="29"/>
        <v>0.99270270270269978</v>
      </c>
      <c r="T280" s="211">
        <f t="shared" si="29"/>
        <v>0.87729729729730022</v>
      </c>
    </row>
    <row r="281" spans="18:20" x14ac:dyDescent="0.2">
      <c r="R281" s="207">
        <f t="shared" si="26"/>
        <v>3.099999999999977</v>
      </c>
      <c r="S281" s="211">
        <f t="shared" si="29"/>
        <v>0.99256756756756459</v>
      </c>
      <c r="T281" s="211">
        <f t="shared" si="29"/>
        <v>0.87743243243243541</v>
      </c>
    </row>
    <row r="282" spans="18:20" x14ac:dyDescent="0.2">
      <c r="R282" s="207">
        <f t="shared" si="26"/>
        <v>3.1099999999999768</v>
      </c>
      <c r="S282" s="211">
        <f t="shared" si="29"/>
        <v>0.9924324324324294</v>
      </c>
      <c r="T282" s="211">
        <f t="shared" si="29"/>
        <v>0.87756756756757059</v>
      </c>
    </row>
    <row r="283" spans="18:20" x14ac:dyDescent="0.2">
      <c r="R283" s="207">
        <f t="shared" si="26"/>
        <v>3.1199999999999766</v>
      </c>
      <c r="S283" s="211">
        <f t="shared" si="29"/>
        <v>0.99229729729729421</v>
      </c>
      <c r="T283" s="211">
        <f t="shared" si="29"/>
        <v>0.87770270270270578</v>
      </c>
    </row>
    <row r="284" spans="18:20" x14ac:dyDescent="0.2">
      <c r="R284" s="207">
        <f t="shared" si="26"/>
        <v>3.1299999999999764</v>
      </c>
      <c r="S284" s="211">
        <f t="shared" si="29"/>
        <v>0.99216216216215902</v>
      </c>
      <c r="T284" s="211">
        <f t="shared" si="29"/>
        <v>0.87783783783784097</v>
      </c>
    </row>
    <row r="285" spans="18:20" x14ac:dyDescent="0.2">
      <c r="R285" s="207">
        <f t="shared" si="26"/>
        <v>3.1399999999999761</v>
      </c>
      <c r="S285" s="211">
        <f t="shared" si="29"/>
        <v>0.99202702702702383</v>
      </c>
      <c r="T285" s="211">
        <f t="shared" si="29"/>
        <v>0.87797297297297616</v>
      </c>
    </row>
    <row r="286" spans="18:20" x14ac:dyDescent="0.2">
      <c r="R286" s="207">
        <f t="shared" si="26"/>
        <v>3.1499999999999759</v>
      </c>
      <c r="S286" s="211">
        <f t="shared" si="29"/>
        <v>0.99189189189188864</v>
      </c>
      <c r="T286" s="211">
        <f t="shared" si="29"/>
        <v>0.87810810810811135</v>
      </c>
    </row>
    <row r="287" spans="18:20" x14ac:dyDescent="0.2">
      <c r="R287" s="207">
        <f t="shared" si="26"/>
        <v>3.1599999999999757</v>
      </c>
      <c r="S287" s="211">
        <f t="shared" si="29"/>
        <v>0.99175675675675345</v>
      </c>
      <c r="T287" s="211">
        <f t="shared" si="29"/>
        <v>0.87824324324324654</v>
      </c>
    </row>
    <row r="288" spans="18:20" x14ac:dyDescent="0.2">
      <c r="R288" s="207">
        <f t="shared" si="26"/>
        <v>3.1699999999999755</v>
      </c>
      <c r="S288" s="211">
        <f t="shared" si="29"/>
        <v>0.99162162162161827</v>
      </c>
      <c r="T288" s="211">
        <f t="shared" si="29"/>
        <v>0.87837837837838173</v>
      </c>
    </row>
    <row r="289" spans="18:20" x14ac:dyDescent="0.2">
      <c r="R289" s="207">
        <f t="shared" si="26"/>
        <v>3.1799999999999753</v>
      </c>
      <c r="S289" s="211">
        <f t="shared" si="29"/>
        <v>0.99148648648648308</v>
      </c>
      <c r="T289" s="211">
        <f t="shared" si="29"/>
        <v>0.87851351351351692</v>
      </c>
    </row>
    <row r="290" spans="18:20" x14ac:dyDescent="0.2">
      <c r="R290" s="207">
        <f t="shared" si="26"/>
        <v>3.1899999999999751</v>
      </c>
      <c r="S290" s="211">
        <f t="shared" si="29"/>
        <v>0.99135135135134789</v>
      </c>
      <c r="T290" s="211">
        <f t="shared" si="29"/>
        <v>0.87864864864865211</v>
      </c>
    </row>
    <row r="291" spans="18:20" x14ac:dyDescent="0.2">
      <c r="R291" s="207">
        <f t="shared" si="26"/>
        <v>3.1999999999999749</v>
      </c>
      <c r="S291" s="211">
        <f t="shared" ref="S291:T306" si="30">S290+((S$374-S$226)/ROWS($R$227:$R$374))</f>
        <v>0.9912162162162127</v>
      </c>
      <c r="T291" s="211">
        <f t="shared" si="30"/>
        <v>0.8787837837837873</v>
      </c>
    </row>
    <row r="292" spans="18:20" x14ac:dyDescent="0.2">
      <c r="R292" s="207">
        <f t="shared" si="26"/>
        <v>3.2099999999999747</v>
      </c>
      <c r="S292" s="211">
        <f t="shared" si="30"/>
        <v>0.99108108108107751</v>
      </c>
      <c r="T292" s="211">
        <f t="shared" si="30"/>
        <v>0.87891891891892249</v>
      </c>
    </row>
    <row r="293" spans="18:20" x14ac:dyDescent="0.2">
      <c r="R293" s="207">
        <f t="shared" si="26"/>
        <v>3.2199999999999744</v>
      </c>
      <c r="S293" s="211">
        <f t="shared" si="30"/>
        <v>0.99094594594594232</v>
      </c>
      <c r="T293" s="211">
        <f t="shared" si="30"/>
        <v>0.87905405405405768</v>
      </c>
    </row>
    <row r="294" spans="18:20" x14ac:dyDescent="0.2">
      <c r="R294" s="207">
        <f t="shared" si="26"/>
        <v>3.2299999999999742</v>
      </c>
      <c r="S294" s="211">
        <f t="shared" si="30"/>
        <v>0.99081081081080713</v>
      </c>
      <c r="T294" s="211">
        <f t="shared" si="30"/>
        <v>0.87918918918919287</v>
      </c>
    </row>
    <row r="295" spans="18:20" x14ac:dyDescent="0.2">
      <c r="R295" s="207">
        <f t="shared" si="26"/>
        <v>3.239999999999974</v>
      </c>
      <c r="S295" s="211">
        <f t="shared" si="30"/>
        <v>0.99067567567567194</v>
      </c>
      <c r="T295" s="211">
        <f t="shared" si="30"/>
        <v>0.87932432432432805</v>
      </c>
    </row>
    <row r="296" spans="18:20" x14ac:dyDescent="0.2">
      <c r="R296" s="207">
        <f t="shared" si="26"/>
        <v>3.2499999999999738</v>
      </c>
      <c r="S296" s="211">
        <f t="shared" si="30"/>
        <v>0.99054054054053675</v>
      </c>
      <c r="T296" s="211">
        <f t="shared" si="30"/>
        <v>0.87945945945946324</v>
      </c>
    </row>
    <row r="297" spans="18:20" x14ac:dyDescent="0.2">
      <c r="R297" s="207">
        <f t="shared" si="26"/>
        <v>3.2599999999999736</v>
      </c>
      <c r="S297" s="211">
        <f t="shared" si="30"/>
        <v>0.99040540540540156</v>
      </c>
      <c r="T297" s="211">
        <f t="shared" si="30"/>
        <v>0.87959459459459843</v>
      </c>
    </row>
    <row r="298" spans="18:20" x14ac:dyDescent="0.2">
      <c r="R298" s="207">
        <f t="shared" si="26"/>
        <v>3.2699999999999734</v>
      </c>
      <c r="S298" s="211">
        <f t="shared" si="30"/>
        <v>0.99027027027026637</v>
      </c>
      <c r="T298" s="211">
        <f t="shared" si="30"/>
        <v>0.87972972972973362</v>
      </c>
    </row>
    <row r="299" spans="18:20" x14ac:dyDescent="0.2">
      <c r="R299" s="207">
        <f t="shared" si="26"/>
        <v>3.2799999999999732</v>
      </c>
      <c r="S299" s="211">
        <f t="shared" si="30"/>
        <v>0.99013513513513118</v>
      </c>
      <c r="T299" s="211">
        <f t="shared" si="30"/>
        <v>0.87986486486486881</v>
      </c>
    </row>
    <row r="300" spans="18:20" x14ac:dyDescent="0.2">
      <c r="R300" s="207">
        <f t="shared" si="26"/>
        <v>3.2899999999999729</v>
      </c>
      <c r="S300" s="211">
        <f t="shared" si="30"/>
        <v>0.98999999999999599</v>
      </c>
      <c r="T300" s="211">
        <f t="shared" si="30"/>
        <v>0.880000000000004</v>
      </c>
    </row>
    <row r="301" spans="18:20" x14ac:dyDescent="0.2">
      <c r="R301" s="207">
        <f t="shared" si="26"/>
        <v>3.2999999999999727</v>
      </c>
      <c r="S301" s="211">
        <f t="shared" si="30"/>
        <v>0.98986486486486081</v>
      </c>
      <c r="T301" s="211">
        <f t="shared" si="30"/>
        <v>0.88013513513513919</v>
      </c>
    </row>
    <row r="302" spans="18:20" x14ac:dyDescent="0.2">
      <c r="R302" s="207">
        <f t="shared" si="26"/>
        <v>3.3099999999999725</v>
      </c>
      <c r="S302" s="211">
        <f t="shared" si="30"/>
        <v>0.98972972972972562</v>
      </c>
      <c r="T302" s="211">
        <f t="shared" si="30"/>
        <v>0.88027027027027438</v>
      </c>
    </row>
    <row r="303" spans="18:20" x14ac:dyDescent="0.2">
      <c r="R303" s="207">
        <f t="shared" si="26"/>
        <v>3.3199999999999723</v>
      </c>
      <c r="S303" s="211">
        <f t="shared" si="30"/>
        <v>0.98959459459459043</v>
      </c>
      <c r="T303" s="211">
        <f t="shared" si="30"/>
        <v>0.88040540540540957</v>
      </c>
    </row>
    <row r="304" spans="18:20" x14ac:dyDescent="0.2">
      <c r="R304" s="207">
        <f t="shared" si="26"/>
        <v>3.3299999999999721</v>
      </c>
      <c r="S304" s="211">
        <f t="shared" si="30"/>
        <v>0.98945945945945524</v>
      </c>
      <c r="T304" s="211">
        <f t="shared" si="30"/>
        <v>0.88054054054054476</v>
      </c>
    </row>
    <row r="305" spans="18:20" x14ac:dyDescent="0.2">
      <c r="R305" s="207">
        <f t="shared" si="26"/>
        <v>3.3399999999999719</v>
      </c>
      <c r="S305" s="211">
        <f t="shared" si="30"/>
        <v>0.98932432432432005</v>
      </c>
      <c r="T305" s="211">
        <f t="shared" si="30"/>
        <v>0.88067567567567995</v>
      </c>
    </row>
    <row r="306" spans="18:20" x14ac:dyDescent="0.2">
      <c r="R306" s="207">
        <f t="shared" si="26"/>
        <v>3.3499999999999717</v>
      </c>
      <c r="S306" s="211">
        <f t="shared" si="30"/>
        <v>0.98918918918918486</v>
      </c>
      <c r="T306" s="211">
        <f t="shared" si="30"/>
        <v>0.88081081081081514</v>
      </c>
    </row>
    <row r="307" spans="18:20" x14ac:dyDescent="0.2">
      <c r="R307" s="207">
        <f t="shared" ref="R307:R370" si="31">R306+0.01</f>
        <v>3.3599999999999715</v>
      </c>
      <c r="S307" s="211">
        <f t="shared" ref="S307:T322" si="32">S306+((S$374-S$226)/ROWS($R$227:$R$374))</f>
        <v>0.98905405405404967</v>
      </c>
      <c r="T307" s="211">
        <f t="shared" si="32"/>
        <v>0.88094594594595033</v>
      </c>
    </row>
    <row r="308" spans="18:20" x14ac:dyDescent="0.2">
      <c r="R308" s="207">
        <f t="shared" si="31"/>
        <v>3.3699999999999712</v>
      </c>
      <c r="S308" s="211">
        <f t="shared" si="32"/>
        <v>0.98891891891891448</v>
      </c>
      <c r="T308" s="211">
        <f t="shared" si="32"/>
        <v>0.88108108108108552</v>
      </c>
    </row>
    <row r="309" spans="18:20" x14ac:dyDescent="0.2">
      <c r="R309" s="207">
        <f t="shared" si="31"/>
        <v>3.379999999999971</v>
      </c>
      <c r="S309" s="211">
        <f t="shared" si="32"/>
        <v>0.98878378378377929</v>
      </c>
      <c r="T309" s="211">
        <f t="shared" si="32"/>
        <v>0.8812162162162207</v>
      </c>
    </row>
    <row r="310" spans="18:20" x14ac:dyDescent="0.2">
      <c r="R310" s="207">
        <f t="shared" si="31"/>
        <v>3.3899999999999708</v>
      </c>
      <c r="S310" s="211">
        <f t="shared" si="32"/>
        <v>0.9886486486486441</v>
      </c>
      <c r="T310" s="211">
        <f t="shared" si="32"/>
        <v>0.88135135135135589</v>
      </c>
    </row>
    <row r="311" spans="18:20" x14ac:dyDescent="0.2">
      <c r="R311" s="207">
        <f t="shared" si="31"/>
        <v>3.3999999999999706</v>
      </c>
      <c r="S311" s="211">
        <f t="shared" si="32"/>
        <v>0.98851351351350891</v>
      </c>
      <c r="T311" s="211">
        <f t="shared" si="32"/>
        <v>0.88148648648649108</v>
      </c>
    </row>
    <row r="312" spans="18:20" x14ac:dyDescent="0.2">
      <c r="R312" s="207">
        <f t="shared" si="31"/>
        <v>3.4099999999999704</v>
      </c>
      <c r="S312" s="211">
        <f t="shared" si="32"/>
        <v>0.98837837837837372</v>
      </c>
      <c r="T312" s="211">
        <f t="shared" si="32"/>
        <v>0.88162162162162627</v>
      </c>
    </row>
    <row r="313" spans="18:20" x14ac:dyDescent="0.2">
      <c r="R313" s="207">
        <f t="shared" si="31"/>
        <v>3.4199999999999702</v>
      </c>
      <c r="S313" s="211">
        <f t="shared" si="32"/>
        <v>0.98824324324323853</v>
      </c>
      <c r="T313" s="211">
        <f t="shared" si="32"/>
        <v>0.88175675675676146</v>
      </c>
    </row>
    <row r="314" spans="18:20" x14ac:dyDescent="0.2">
      <c r="R314" s="207">
        <f t="shared" si="31"/>
        <v>3.42999999999997</v>
      </c>
      <c r="S314" s="211">
        <f t="shared" si="32"/>
        <v>0.98810810810810334</v>
      </c>
      <c r="T314" s="211">
        <f t="shared" si="32"/>
        <v>0.88189189189189665</v>
      </c>
    </row>
    <row r="315" spans="18:20" x14ac:dyDescent="0.2">
      <c r="R315" s="207">
        <f t="shared" si="31"/>
        <v>3.4399999999999697</v>
      </c>
      <c r="S315" s="211">
        <f t="shared" si="32"/>
        <v>0.98797297297296816</v>
      </c>
      <c r="T315" s="211">
        <f t="shared" si="32"/>
        <v>0.88202702702703184</v>
      </c>
    </row>
    <row r="316" spans="18:20" x14ac:dyDescent="0.2">
      <c r="R316" s="207">
        <f t="shared" si="31"/>
        <v>3.4499999999999695</v>
      </c>
      <c r="S316" s="211">
        <f t="shared" si="32"/>
        <v>0.98783783783783297</v>
      </c>
      <c r="T316" s="211">
        <f t="shared" si="32"/>
        <v>0.88216216216216703</v>
      </c>
    </row>
    <row r="317" spans="18:20" x14ac:dyDescent="0.2">
      <c r="R317" s="207">
        <f t="shared" si="31"/>
        <v>3.4599999999999693</v>
      </c>
      <c r="S317" s="211">
        <f t="shared" si="32"/>
        <v>0.98770270270269778</v>
      </c>
      <c r="T317" s="211">
        <f t="shared" si="32"/>
        <v>0.88229729729730222</v>
      </c>
    </row>
    <row r="318" spans="18:20" x14ac:dyDescent="0.2">
      <c r="R318" s="207">
        <f t="shared" si="31"/>
        <v>3.4699999999999691</v>
      </c>
      <c r="S318" s="211">
        <f t="shared" si="32"/>
        <v>0.98756756756756259</v>
      </c>
      <c r="T318" s="211">
        <f t="shared" si="32"/>
        <v>0.88243243243243741</v>
      </c>
    </row>
    <row r="319" spans="18:20" x14ac:dyDescent="0.2">
      <c r="R319" s="207">
        <f t="shared" si="31"/>
        <v>3.4799999999999689</v>
      </c>
      <c r="S319" s="211">
        <f t="shared" si="32"/>
        <v>0.9874324324324274</v>
      </c>
      <c r="T319" s="211">
        <f t="shared" si="32"/>
        <v>0.8825675675675726</v>
      </c>
    </row>
    <row r="320" spans="18:20" x14ac:dyDescent="0.2">
      <c r="R320" s="207">
        <f t="shared" si="31"/>
        <v>3.4899999999999687</v>
      </c>
      <c r="S320" s="211">
        <f t="shared" si="32"/>
        <v>0.98729729729729221</v>
      </c>
      <c r="T320" s="211">
        <f t="shared" si="32"/>
        <v>0.88270270270270779</v>
      </c>
    </row>
    <row r="321" spans="18:20" x14ac:dyDescent="0.2">
      <c r="R321" s="207">
        <f t="shared" si="31"/>
        <v>3.4999999999999685</v>
      </c>
      <c r="S321" s="211">
        <f t="shared" si="32"/>
        <v>0.98716216216215702</v>
      </c>
      <c r="T321" s="211">
        <f t="shared" si="32"/>
        <v>0.88283783783784298</v>
      </c>
    </row>
    <row r="322" spans="18:20" x14ac:dyDescent="0.2">
      <c r="R322" s="207">
        <f t="shared" si="31"/>
        <v>3.5099999999999683</v>
      </c>
      <c r="S322" s="211">
        <f t="shared" si="32"/>
        <v>0.98702702702702183</v>
      </c>
      <c r="T322" s="211">
        <f t="shared" si="32"/>
        <v>0.88297297297297817</v>
      </c>
    </row>
    <row r="323" spans="18:20" x14ac:dyDescent="0.2">
      <c r="R323" s="207">
        <f t="shared" si="31"/>
        <v>3.519999999999968</v>
      </c>
      <c r="S323" s="211">
        <f t="shared" ref="S323:T338" si="33">S322+((S$374-S$226)/ROWS($R$227:$R$374))</f>
        <v>0.98689189189188664</v>
      </c>
      <c r="T323" s="211">
        <f t="shared" si="33"/>
        <v>0.88310810810811335</v>
      </c>
    </row>
    <row r="324" spans="18:20" x14ac:dyDescent="0.2">
      <c r="R324" s="207">
        <f t="shared" si="31"/>
        <v>3.5299999999999678</v>
      </c>
      <c r="S324" s="211">
        <f t="shared" si="33"/>
        <v>0.98675675675675145</v>
      </c>
      <c r="T324" s="211">
        <f t="shared" si="33"/>
        <v>0.88324324324324854</v>
      </c>
    </row>
    <row r="325" spans="18:20" x14ac:dyDescent="0.2">
      <c r="R325" s="207">
        <f t="shared" si="31"/>
        <v>3.5399999999999676</v>
      </c>
      <c r="S325" s="211">
        <f t="shared" si="33"/>
        <v>0.98662162162161626</v>
      </c>
      <c r="T325" s="211">
        <f t="shared" si="33"/>
        <v>0.88337837837838373</v>
      </c>
    </row>
    <row r="326" spans="18:20" x14ac:dyDescent="0.2">
      <c r="R326" s="207">
        <f t="shared" si="31"/>
        <v>3.5499999999999674</v>
      </c>
      <c r="S326" s="211">
        <f t="shared" si="33"/>
        <v>0.98648648648648107</v>
      </c>
      <c r="T326" s="211">
        <f t="shared" si="33"/>
        <v>0.88351351351351892</v>
      </c>
    </row>
    <row r="327" spans="18:20" x14ac:dyDescent="0.2">
      <c r="R327" s="207">
        <f t="shared" si="31"/>
        <v>3.5599999999999672</v>
      </c>
      <c r="S327" s="211">
        <f t="shared" si="33"/>
        <v>0.98635135135134588</v>
      </c>
      <c r="T327" s="211">
        <f t="shared" si="33"/>
        <v>0.88364864864865411</v>
      </c>
    </row>
    <row r="328" spans="18:20" x14ac:dyDescent="0.2">
      <c r="R328" s="207">
        <f t="shared" si="31"/>
        <v>3.569999999999967</v>
      </c>
      <c r="S328" s="211">
        <f t="shared" si="33"/>
        <v>0.98621621621621069</v>
      </c>
      <c r="T328" s="211">
        <f t="shared" si="33"/>
        <v>0.8837837837837893</v>
      </c>
    </row>
    <row r="329" spans="18:20" x14ac:dyDescent="0.2">
      <c r="R329" s="207">
        <f t="shared" si="31"/>
        <v>3.5799999999999668</v>
      </c>
      <c r="S329" s="211">
        <f t="shared" si="33"/>
        <v>0.98608108108107551</v>
      </c>
      <c r="T329" s="211">
        <f t="shared" si="33"/>
        <v>0.88391891891892449</v>
      </c>
    </row>
    <row r="330" spans="18:20" x14ac:dyDescent="0.2">
      <c r="R330" s="207">
        <f t="shared" si="31"/>
        <v>3.5899999999999666</v>
      </c>
      <c r="S330" s="211">
        <f t="shared" si="33"/>
        <v>0.98594594594594032</v>
      </c>
      <c r="T330" s="211">
        <f t="shared" si="33"/>
        <v>0.88405405405405968</v>
      </c>
    </row>
    <row r="331" spans="18:20" x14ac:dyDescent="0.2">
      <c r="R331" s="207">
        <f t="shared" si="31"/>
        <v>3.5999999999999663</v>
      </c>
      <c r="S331" s="211">
        <f t="shared" si="33"/>
        <v>0.98581081081080513</v>
      </c>
      <c r="T331" s="211">
        <f t="shared" si="33"/>
        <v>0.88418918918919487</v>
      </c>
    </row>
    <row r="332" spans="18:20" x14ac:dyDescent="0.2">
      <c r="R332" s="207">
        <f t="shared" si="31"/>
        <v>3.6099999999999661</v>
      </c>
      <c r="S332" s="211">
        <f t="shared" si="33"/>
        <v>0.98567567567566994</v>
      </c>
      <c r="T332" s="211">
        <f t="shared" si="33"/>
        <v>0.88432432432433006</v>
      </c>
    </row>
    <row r="333" spans="18:20" x14ac:dyDescent="0.2">
      <c r="R333" s="207">
        <f t="shared" si="31"/>
        <v>3.6199999999999659</v>
      </c>
      <c r="S333" s="211">
        <f t="shared" si="33"/>
        <v>0.98554054054053475</v>
      </c>
      <c r="T333" s="211">
        <f t="shared" si="33"/>
        <v>0.88445945945946525</v>
      </c>
    </row>
    <row r="334" spans="18:20" x14ac:dyDescent="0.2">
      <c r="R334" s="207">
        <f t="shared" si="31"/>
        <v>3.6299999999999657</v>
      </c>
      <c r="S334" s="211">
        <f t="shared" si="33"/>
        <v>0.98540540540539956</v>
      </c>
      <c r="T334" s="211">
        <f t="shared" si="33"/>
        <v>0.88459459459460044</v>
      </c>
    </row>
    <row r="335" spans="18:20" x14ac:dyDescent="0.2">
      <c r="R335" s="207">
        <f t="shared" si="31"/>
        <v>3.6399999999999655</v>
      </c>
      <c r="S335" s="211">
        <f t="shared" si="33"/>
        <v>0.98527027027026437</v>
      </c>
      <c r="T335" s="211">
        <f t="shared" si="33"/>
        <v>0.88472972972973563</v>
      </c>
    </row>
    <row r="336" spans="18:20" x14ac:dyDescent="0.2">
      <c r="R336" s="207">
        <f t="shared" si="31"/>
        <v>3.6499999999999653</v>
      </c>
      <c r="S336" s="211">
        <f t="shared" si="33"/>
        <v>0.98513513513512918</v>
      </c>
      <c r="T336" s="211">
        <f t="shared" si="33"/>
        <v>0.88486486486487081</v>
      </c>
    </row>
    <row r="337" spans="18:20" x14ac:dyDescent="0.2">
      <c r="R337" s="207">
        <f t="shared" si="31"/>
        <v>3.6599999999999651</v>
      </c>
      <c r="S337" s="211">
        <f t="shared" si="33"/>
        <v>0.98499999999999399</v>
      </c>
      <c r="T337" s="211">
        <f t="shared" si="33"/>
        <v>0.885000000000006</v>
      </c>
    </row>
    <row r="338" spans="18:20" x14ac:dyDescent="0.2">
      <c r="R338" s="207">
        <f t="shared" si="31"/>
        <v>3.6699999999999648</v>
      </c>
      <c r="S338" s="211">
        <f t="shared" si="33"/>
        <v>0.9848648648648588</v>
      </c>
      <c r="T338" s="211">
        <f t="shared" si="33"/>
        <v>0.88513513513514119</v>
      </c>
    </row>
    <row r="339" spans="18:20" x14ac:dyDescent="0.2">
      <c r="R339" s="207">
        <f t="shared" si="31"/>
        <v>3.6799999999999646</v>
      </c>
      <c r="S339" s="211">
        <f t="shared" ref="S339:T354" si="34">S338+((S$374-S$226)/ROWS($R$227:$R$374))</f>
        <v>0.98472972972972361</v>
      </c>
      <c r="T339" s="211">
        <f t="shared" si="34"/>
        <v>0.88527027027027638</v>
      </c>
    </row>
    <row r="340" spans="18:20" x14ac:dyDescent="0.2">
      <c r="R340" s="207">
        <f t="shared" si="31"/>
        <v>3.6899999999999644</v>
      </c>
      <c r="S340" s="211">
        <f t="shared" si="34"/>
        <v>0.98459459459458842</v>
      </c>
      <c r="T340" s="211">
        <f t="shared" si="34"/>
        <v>0.88540540540541157</v>
      </c>
    </row>
    <row r="341" spans="18:20" x14ac:dyDescent="0.2">
      <c r="R341" s="207">
        <f t="shared" si="31"/>
        <v>3.6999999999999642</v>
      </c>
      <c r="S341" s="211">
        <f t="shared" si="34"/>
        <v>0.98445945945945323</v>
      </c>
      <c r="T341" s="211">
        <f t="shared" si="34"/>
        <v>0.88554054054054676</v>
      </c>
    </row>
    <row r="342" spans="18:20" x14ac:dyDescent="0.2">
      <c r="R342" s="207">
        <f t="shared" si="31"/>
        <v>3.709999999999964</v>
      </c>
      <c r="S342" s="211">
        <f t="shared" si="34"/>
        <v>0.98432432432431805</v>
      </c>
      <c r="T342" s="211">
        <f t="shared" si="34"/>
        <v>0.88567567567568195</v>
      </c>
    </row>
    <row r="343" spans="18:20" x14ac:dyDescent="0.2">
      <c r="R343" s="207">
        <f t="shared" si="31"/>
        <v>3.7199999999999638</v>
      </c>
      <c r="S343" s="211">
        <f t="shared" si="34"/>
        <v>0.98418918918918286</v>
      </c>
      <c r="T343" s="211">
        <f t="shared" si="34"/>
        <v>0.88581081081081714</v>
      </c>
    </row>
    <row r="344" spans="18:20" x14ac:dyDescent="0.2">
      <c r="R344" s="207">
        <f t="shared" si="31"/>
        <v>3.7299999999999636</v>
      </c>
      <c r="S344" s="211">
        <f t="shared" si="34"/>
        <v>0.98405405405404767</v>
      </c>
      <c r="T344" s="211">
        <f t="shared" si="34"/>
        <v>0.88594594594595233</v>
      </c>
    </row>
    <row r="345" spans="18:20" x14ac:dyDescent="0.2">
      <c r="R345" s="207">
        <f t="shared" si="31"/>
        <v>3.7399999999999634</v>
      </c>
      <c r="S345" s="211">
        <f t="shared" si="34"/>
        <v>0.98391891891891248</v>
      </c>
      <c r="T345" s="211">
        <f t="shared" si="34"/>
        <v>0.88608108108108752</v>
      </c>
    </row>
    <row r="346" spans="18:20" x14ac:dyDescent="0.2">
      <c r="R346" s="207">
        <f t="shared" si="31"/>
        <v>3.7499999999999631</v>
      </c>
      <c r="S346" s="211">
        <f t="shared" si="34"/>
        <v>0.98378378378377729</v>
      </c>
      <c r="T346" s="211">
        <f t="shared" si="34"/>
        <v>0.88621621621622271</v>
      </c>
    </row>
    <row r="347" spans="18:20" x14ac:dyDescent="0.2">
      <c r="R347" s="207">
        <f t="shared" si="31"/>
        <v>3.7599999999999629</v>
      </c>
      <c r="S347" s="211">
        <f t="shared" si="34"/>
        <v>0.9836486486486421</v>
      </c>
      <c r="T347" s="211">
        <f t="shared" si="34"/>
        <v>0.8863513513513579</v>
      </c>
    </row>
    <row r="348" spans="18:20" x14ac:dyDescent="0.2">
      <c r="R348" s="207">
        <f t="shared" si="31"/>
        <v>3.7699999999999627</v>
      </c>
      <c r="S348" s="211">
        <f t="shared" si="34"/>
        <v>0.98351351351350691</v>
      </c>
      <c r="T348" s="211">
        <f t="shared" si="34"/>
        <v>0.88648648648649309</v>
      </c>
    </row>
    <row r="349" spans="18:20" x14ac:dyDescent="0.2">
      <c r="R349" s="207">
        <f t="shared" si="31"/>
        <v>3.7799999999999625</v>
      </c>
      <c r="S349" s="211">
        <f t="shared" si="34"/>
        <v>0.98337837837837172</v>
      </c>
      <c r="T349" s="211">
        <f t="shared" si="34"/>
        <v>0.88662162162162828</v>
      </c>
    </row>
    <row r="350" spans="18:20" x14ac:dyDescent="0.2">
      <c r="R350" s="207">
        <f t="shared" si="31"/>
        <v>3.7899999999999623</v>
      </c>
      <c r="S350" s="211">
        <f t="shared" si="34"/>
        <v>0.98324324324323653</v>
      </c>
      <c r="T350" s="211">
        <f t="shared" si="34"/>
        <v>0.88675675675676346</v>
      </c>
    </row>
    <row r="351" spans="18:20" x14ac:dyDescent="0.2">
      <c r="R351" s="207">
        <f t="shared" si="31"/>
        <v>3.7999999999999621</v>
      </c>
      <c r="S351" s="211">
        <f t="shared" si="34"/>
        <v>0.98310810810810134</v>
      </c>
      <c r="T351" s="211">
        <f t="shared" si="34"/>
        <v>0.88689189189189865</v>
      </c>
    </row>
    <row r="352" spans="18:20" x14ac:dyDescent="0.2">
      <c r="R352" s="207">
        <f t="shared" si="31"/>
        <v>3.8099999999999619</v>
      </c>
      <c r="S352" s="211">
        <f t="shared" si="34"/>
        <v>0.98297297297296615</v>
      </c>
      <c r="T352" s="211">
        <f t="shared" si="34"/>
        <v>0.88702702702703384</v>
      </c>
    </row>
    <row r="353" spans="18:20" x14ac:dyDescent="0.2">
      <c r="R353" s="207">
        <f t="shared" si="31"/>
        <v>3.8199999999999616</v>
      </c>
      <c r="S353" s="211">
        <f t="shared" si="34"/>
        <v>0.98283783783783096</v>
      </c>
      <c r="T353" s="211">
        <f t="shared" si="34"/>
        <v>0.88716216216216903</v>
      </c>
    </row>
    <row r="354" spans="18:20" x14ac:dyDescent="0.2">
      <c r="R354" s="207">
        <f t="shared" si="31"/>
        <v>3.8299999999999614</v>
      </c>
      <c r="S354" s="211">
        <f t="shared" si="34"/>
        <v>0.98270270270269577</v>
      </c>
      <c r="T354" s="211">
        <f t="shared" si="34"/>
        <v>0.88729729729730422</v>
      </c>
    </row>
    <row r="355" spans="18:20" x14ac:dyDescent="0.2">
      <c r="R355" s="207">
        <f t="shared" si="31"/>
        <v>3.8399999999999612</v>
      </c>
      <c r="S355" s="211">
        <f t="shared" ref="S355:T370" si="35">S354+((S$374-S$226)/ROWS($R$227:$R$374))</f>
        <v>0.98256756756756058</v>
      </c>
      <c r="T355" s="211">
        <f t="shared" si="35"/>
        <v>0.88743243243243941</v>
      </c>
    </row>
    <row r="356" spans="18:20" x14ac:dyDescent="0.2">
      <c r="R356" s="207">
        <f t="shared" si="31"/>
        <v>3.849999999999961</v>
      </c>
      <c r="S356" s="211">
        <f t="shared" si="35"/>
        <v>0.9824324324324254</v>
      </c>
      <c r="T356" s="211">
        <f t="shared" si="35"/>
        <v>0.8875675675675746</v>
      </c>
    </row>
    <row r="357" spans="18:20" x14ac:dyDescent="0.2">
      <c r="R357" s="207">
        <f t="shared" si="31"/>
        <v>3.8599999999999608</v>
      </c>
      <c r="S357" s="211">
        <f t="shared" si="35"/>
        <v>0.98229729729729021</v>
      </c>
      <c r="T357" s="211">
        <f t="shared" si="35"/>
        <v>0.88770270270270979</v>
      </c>
    </row>
    <row r="358" spans="18:20" x14ac:dyDescent="0.2">
      <c r="R358" s="207">
        <f t="shared" si="31"/>
        <v>3.8699999999999606</v>
      </c>
      <c r="S358" s="211">
        <f t="shared" si="35"/>
        <v>0.98216216216215502</v>
      </c>
      <c r="T358" s="211">
        <f t="shared" si="35"/>
        <v>0.88783783783784498</v>
      </c>
    </row>
    <row r="359" spans="18:20" x14ac:dyDescent="0.2">
      <c r="R359" s="207">
        <f t="shared" si="31"/>
        <v>3.8799999999999604</v>
      </c>
      <c r="S359" s="211">
        <f t="shared" si="35"/>
        <v>0.98202702702701983</v>
      </c>
      <c r="T359" s="211">
        <f t="shared" si="35"/>
        <v>0.88797297297298017</v>
      </c>
    </row>
    <row r="360" spans="18:20" x14ac:dyDescent="0.2">
      <c r="R360" s="207">
        <f t="shared" si="31"/>
        <v>3.8899999999999602</v>
      </c>
      <c r="S360" s="211">
        <f t="shared" si="35"/>
        <v>0.98189189189188464</v>
      </c>
      <c r="T360" s="211">
        <f t="shared" si="35"/>
        <v>0.88810810810811536</v>
      </c>
    </row>
    <row r="361" spans="18:20" x14ac:dyDescent="0.2">
      <c r="R361" s="207">
        <f t="shared" si="31"/>
        <v>3.8999999999999599</v>
      </c>
      <c r="S361" s="211">
        <f t="shared" si="35"/>
        <v>0.98175675675674945</v>
      </c>
      <c r="T361" s="211">
        <f t="shared" si="35"/>
        <v>0.88824324324325055</v>
      </c>
    </row>
    <row r="362" spans="18:20" x14ac:dyDescent="0.2">
      <c r="R362" s="207">
        <f t="shared" si="31"/>
        <v>3.9099999999999597</v>
      </c>
      <c r="S362" s="211">
        <f t="shared" si="35"/>
        <v>0.98162162162161426</v>
      </c>
      <c r="T362" s="211">
        <f t="shared" si="35"/>
        <v>0.88837837837838574</v>
      </c>
    </row>
    <row r="363" spans="18:20" x14ac:dyDescent="0.2">
      <c r="R363" s="207">
        <f t="shared" si="31"/>
        <v>3.9199999999999595</v>
      </c>
      <c r="S363" s="211">
        <f t="shared" si="35"/>
        <v>0.98148648648647907</v>
      </c>
      <c r="T363" s="211">
        <f t="shared" si="35"/>
        <v>0.88851351351352093</v>
      </c>
    </row>
    <row r="364" spans="18:20" x14ac:dyDescent="0.2">
      <c r="R364" s="207">
        <f t="shared" si="31"/>
        <v>3.9299999999999593</v>
      </c>
      <c r="S364" s="211">
        <f t="shared" si="35"/>
        <v>0.98135135135134388</v>
      </c>
      <c r="T364" s="211">
        <f t="shared" si="35"/>
        <v>0.88864864864865611</v>
      </c>
    </row>
    <row r="365" spans="18:20" x14ac:dyDescent="0.2">
      <c r="R365" s="207">
        <f t="shared" si="31"/>
        <v>3.9399999999999591</v>
      </c>
      <c r="S365" s="211">
        <f t="shared" si="35"/>
        <v>0.98121621621620869</v>
      </c>
      <c r="T365" s="211">
        <f t="shared" si="35"/>
        <v>0.8887837837837913</v>
      </c>
    </row>
    <row r="366" spans="18:20" x14ac:dyDescent="0.2">
      <c r="R366" s="207">
        <f t="shared" si="31"/>
        <v>3.9499999999999589</v>
      </c>
      <c r="S366" s="211">
        <f t="shared" si="35"/>
        <v>0.9810810810810735</v>
      </c>
      <c r="T366" s="211">
        <f t="shared" si="35"/>
        <v>0.88891891891892649</v>
      </c>
    </row>
    <row r="367" spans="18:20" x14ac:dyDescent="0.2">
      <c r="R367" s="207">
        <f t="shared" si="31"/>
        <v>3.9599999999999587</v>
      </c>
      <c r="S367" s="211">
        <f t="shared" si="35"/>
        <v>0.98094594594593831</v>
      </c>
      <c r="T367" s="211">
        <f t="shared" si="35"/>
        <v>0.88905405405406168</v>
      </c>
    </row>
    <row r="368" spans="18:20" x14ac:dyDescent="0.2">
      <c r="R368" s="207">
        <f t="shared" si="31"/>
        <v>3.9699999999999585</v>
      </c>
      <c r="S368" s="211">
        <f t="shared" si="35"/>
        <v>0.98081081081080312</v>
      </c>
      <c r="T368" s="211">
        <f t="shared" si="35"/>
        <v>0.88918918918919687</v>
      </c>
    </row>
    <row r="369" spans="18:20" x14ac:dyDescent="0.2">
      <c r="R369" s="207">
        <f t="shared" si="31"/>
        <v>3.9799999999999582</v>
      </c>
      <c r="S369" s="211">
        <f t="shared" si="35"/>
        <v>0.98067567567566793</v>
      </c>
      <c r="T369" s="211">
        <f t="shared" si="35"/>
        <v>0.88932432432433206</v>
      </c>
    </row>
    <row r="370" spans="18:20" x14ac:dyDescent="0.2">
      <c r="R370" s="207">
        <f t="shared" si="31"/>
        <v>3.989999999999958</v>
      </c>
      <c r="S370" s="211">
        <f t="shared" si="35"/>
        <v>0.98054054054053275</v>
      </c>
      <c r="T370" s="211">
        <f t="shared" si="35"/>
        <v>0.88945945945946725</v>
      </c>
    </row>
    <row r="371" spans="18:20" x14ac:dyDescent="0.2">
      <c r="R371" s="207">
        <f t="shared" ref="R371:R434" si="36">R370+0.01</f>
        <v>3.9999999999999578</v>
      </c>
      <c r="S371" s="211">
        <f t="shared" ref="S371:T373" si="37">S370+((S$374-S$226)/ROWS($R$227:$R$374))</f>
        <v>0.98040540540539756</v>
      </c>
      <c r="T371" s="211">
        <f t="shared" si="37"/>
        <v>0.88959459459460244</v>
      </c>
    </row>
    <row r="372" spans="18:20" x14ac:dyDescent="0.2">
      <c r="R372" s="207">
        <f t="shared" si="36"/>
        <v>4.009999999999958</v>
      </c>
      <c r="S372" s="211">
        <f t="shared" si="37"/>
        <v>0.98027027027026237</v>
      </c>
      <c r="T372" s="211">
        <f t="shared" si="37"/>
        <v>0.88972972972973763</v>
      </c>
    </row>
    <row r="373" spans="18:20" x14ac:dyDescent="0.2">
      <c r="R373" s="207">
        <f t="shared" si="36"/>
        <v>4.0199999999999578</v>
      </c>
      <c r="S373" s="211">
        <f t="shared" si="37"/>
        <v>0.98013513513512718</v>
      </c>
      <c r="T373" s="211">
        <f t="shared" si="37"/>
        <v>0.88986486486487282</v>
      </c>
    </row>
    <row r="374" spans="18:20" x14ac:dyDescent="0.2">
      <c r="R374" s="207">
        <f t="shared" si="36"/>
        <v>4.0299999999999576</v>
      </c>
      <c r="S374" s="209">
        <f>G17</f>
        <v>0.98</v>
      </c>
      <c r="T374" s="209">
        <f>I17</f>
        <v>0.89</v>
      </c>
    </row>
    <row r="375" spans="18:20" x14ac:dyDescent="0.2">
      <c r="R375" s="207">
        <f t="shared" si="36"/>
        <v>4.0399999999999574</v>
      </c>
      <c r="S375" s="211">
        <f t="shared" ref="S375:T390" si="38">S374+((S$466-S$374)/ROWS($R$375:$R$466))</f>
        <v>0.98010869565217384</v>
      </c>
      <c r="T375" s="211">
        <f t="shared" si="38"/>
        <v>0.89010869565217388</v>
      </c>
    </row>
    <row r="376" spans="18:20" x14ac:dyDescent="0.2">
      <c r="R376" s="207">
        <f t="shared" si="36"/>
        <v>4.0499999999999572</v>
      </c>
      <c r="S376" s="211">
        <f t="shared" si="38"/>
        <v>0.98021739130434771</v>
      </c>
      <c r="T376" s="211">
        <f t="shared" si="38"/>
        <v>0.89021739130434774</v>
      </c>
    </row>
    <row r="377" spans="18:20" x14ac:dyDescent="0.2">
      <c r="R377" s="207">
        <f t="shared" si="36"/>
        <v>4.059999999999957</v>
      </c>
      <c r="S377" s="211">
        <f t="shared" si="38"/>
        <v>0.98032608695652157</v>
      </c>
      <c r="T377" s="211">
        <f t="shared" si="38"/>
        <v>0.8903260869565216</v>
      </c>
    </row>
    <row r="378" spans="18:20" x14ac:dyDescent="0.2">
      <c r="R378" s="207">
        <f t="shared" si="36"/>
        <v>4.0699999999999568</v>
      </c>
      <c r="S378" s="211">
        <f t="shared" si="38"/>
        <v>0.98043478260869543</v>
      </c>
      <c r="T378" s="211">
        <f t="shared" si="38"/>
        <v>0.89043478260869546</v>
      </c>
    </row>
    <row r="379" spans="18:20" x14ac:dyDescent="0.2">
      <c r="R379" s="207">
        <f t="shared" si="36"/>
        <v>4.0799999999999566</v>
      </c>
      <c r="S379" s="211">
        <f t="shared" si="38"/>
        <v>0.98054347826086929</v>
      </c>
      <c r="T379" s="211">
        <f t="shared" si="38"/>
        <v>0.89054347826086933</v>
      </c>
    </row>
    <row r="380" spans="18:20" x14ac:dyDescent="0.2">
      <c r="R380" s="207">
        <f t="shared" si="36"/>
        <v>4.0899999999999563</v>
      </c>
      <c r="S380" s="211">
        <f t="shared" si="38"/>
        <v>0.98065217391304316</v>
      </c>
      <c r="T380" s="211">
        <f t="shared" si="38"/>
        <v>0.89065217391304319</v>
      </c>
    </row>
    <row r="381" spans="18:20" x14ac:dyDescent="0.2">
      <c r="R381" s="207">
        <f t="shared" si="36"/>
        <v>4.0999999999999561</v>
      </c>
      <c r="S381" s="211">
        <f t="shared" si="38"/>
        <v>0.98076086956521702</v>
      </c>
      <c r="T381" s="211">
        <f t="shared" si="38"/>
        <v>0.89076086956521705</v>
      </c>
    </row>
    <row r="382" spans="18:20" x14ac:dyDescent="0.2">
      <c r="R382" s="207">
        <f t="shared" si="36"/>
        <v>4.1099999999999559</v>
      </c>
      <c r="S382" s="211">
        <f t="shared" si="38"/>
        <v>0.98086956521739088</v>
      </c>
      <c r="T382" s="211">
        <f t="shared" si="38"/>
        <v>0.89086956521739091</v>
      </c>
    </row>
    <row r="383" spans="18:20" x14ac:dyDescent="0.2">
      <c r="R383" s="207">
        <f t="shared" si="36"/>
        <v>4.1199999999999557</v>
      </c>
      <c r="S383" s="211">
        <f t="shared" si="38"/>
        <v>0.98097826086956474</v>
      </c>
      <c r="T383" s="211">
        <f t="shared" si="38"/>
        <v>0.89097826086956478</v>
      </c>
    </row>
    <row r="384" spans="18:20" x14ac:dyDescent="0.2">
      <c r="R384" s="207">
        <f t="shared" si="36"/>
        <v>4.1299999999999555</v>
      </c>
      <c r="S384" s="211">
        <f t="shared" si="38"/>
        <v>0.98108695652173861</v>
      </c>
      <c r="T384" s="211">
        <f t="shared" si="38"/>
        <v>0.89108695652173864</v>
      </c>
    </row>
    <row r="385" spans="18:20" x14ac:dyDescent="0.2">
      <c r="R385" s="207">
        <f t="shared" si="36"/>
        <v>4.1399999999999553</v>
      </c>
      <c r="S385" s="211">
        <f t="shared" si="38"/>
        <v>0.98119565217391247</v>
      </c>
      <c r="T385" s="211">
        <f t="shared" si="38"/>
        <v>0.8911956521739125</v>
      </c>
    </row>
    <row r="386" spans="18:20" x14ac:dyDescent="0.2">
      <c r="R386" s="207">
        <f t="shared" si="36"/>
        <v>4.1499999999999551</v>
      </c>
      <c r="S386" s="211">
        <f t="shared" si="38"/>
        <v>0.98130434782608633</v>
      </c>
      <c r="T386" s="211">
        <f t="shared" si="38"/>
        <v>0.89130434782608636</v>
      </c>
    </row>
    <row r="387" spans="18:20" x14ac:dyDescent="0.2">
      <c r="R387" s="207">
        <f t="shared" si="36"/>
        <v>4.1599999999999548</v>
      </c>
      <c r="S387" s="211">
        <f t="shared" si="38"/>
        <v>0.98141304347826019</v>
      </c>
      <c r="T387" s="211">
        <f t="shared" si="38"/>
        <v>0.89141304347826023</v>
      </c>
    </row>
    <row r="388" spans="18:20" x14ac:dyDescent="0.2">
      <c r="R388" s="207">
        <f t="shared" si="36"/>
        <v>4.1699999999999546</v>
      </c>
      <c r="S388" s="211">
        <f t="shared" si="38"/>
        <v>0.98152173913043406</v>
      </c>
      <c r="T388" s="211">
        <f t="shared" si="38"/>
        <v>0.89152173913043409</v>
      </c>
    </row>
    <row r="389" spans="18:20" x14ac:dyDescent="0.2">
      <c r="R389" s="207">
        <f t="shared" si="36"/>
        <v>4.1799999999999544</v>
      </c>
      <c r="S389" s="211">
        <f t="shared" si="38"/>
        <v>0.98163043478260792</v>
      </c>
      <c r="T389" s="211">
        <f t="shared" si="38"/>
        <v>0.89163043478260795</v>
      </c>
    </row>
    <row r="390" spans="18:20" x14ac:dyDescent="0.2">
      <c r="R390" s="207">
        <f t="shared" si="36"/>
        <v>4.1899999999999542</v>
      </c>
      <c r="S390" s="211">
        <f t="shared" si="38"/>
        <v>0.98173913043478178</v>
      </c>
      <c r="T390" s="211">
        <f t="shared" si="38"/>
        <v>0.89173913043478181</v>
      </c>
    </row>
    <row r="391" spans="18:20" x14ac:dyDescent="0.2">
      <c r="R391" s="207">
        <f t="shared" si="36"/>
        <v>4.199999999999954</v>
      </c>
      <c r="S391" s="211">
        <f t="shared" ref="S391:T406" si="39">S390+((S$466-S$374)/ROWS($R$375:$R$466))</f>
        <v>0.98184782608695564</v>
      </c>
      <c r="T391" s="211">
        <f t="shared" si="39"/>
        <v>0.89184782608695568</v>
      </c>
    </row>
    <row r="392" spans="18:20" x14ac:dyDescent="0.2">
      <c r="R392" s="207">
        <f t="shared" si="36"/>
        <v>4.2099999999999538</v>
      </c>
      <c r="S392" s="211">
        <f t="shared" si="39"/>
        <v>0.98195652173912951</v>
      </c>
      <c r="T392" s="211">
        <f t="shared" si="39"/>
        <v>0.89195652173912954</v>
      </c>
    </row>
    <row r="393" spans="18:20" x14ac:dyDescent="0.2">
      <c r="R393" s="207">
        <f t="shared" si="36"/>
        <v>4.2199999999999536</v>
      </c>
      <c r="S393" s="211">
        <f t="shared" si="39"/>
        <v>0.98206521739130337</v>
      </c>
      <c r="T393" s="211">
        <f t="shared" si="39"/>
        <v>0.8920652173913034</v>
      </c>
    </row>
    <row r="394" spans="18:20" x14ac:dyDescent="0.2">
      <c r="R394" s="207">
        <f t="shared" si="36"/>
        <v>4.2299999999999534</v>
      </c>
      <c r="S394" s="211">
        <f t="shared" si="39"/>
        <v>0.98217391304347723</v>
      </c>
      <c r="T394" s="211">
        <f t="shared" si="39"/>
        <v>0.89217391304347726</v>
      </c>
    </row>
    <row r="395" spans="18:20" x14ac:dyDescent="0.2">
      <c r="R395" s="207">
        <f t="shared" si="36"/>
        <v>4.2399999999999531</v>
      </c>
      <c r="S395" s="211">
        <f t="shared" si="39"/>
        <v>0.98228260869565109</v>
      </c>
      <c r="T395" s="211">
        <f t="shared" si="39"/>
        <v>0.89228260869565112</v>
      </c>
    </row>
    <row r="396" spans="18:20" x14ac:dyDescent="0.2">
      <c r="R396" s="207">
        <f t="shared" si="36"/>
        <v>4.2499999999999529</v>
      </c>
      <c r="S396" s="211">
        <f t="shared" si="39"/>
        <v>0.98239130434782496</v>
      </c>
      <c r="T396" s="211">
        <f t="shared" si="39"/>
        <v>0.89239130434782499</v>
      </c>
    </row>
    <row r="397" spans="18:20" x14ac:dyDescent="0.2">
      <c r="R397" s="207">
        <f t="shared" si="36"/>
        <v>4.2599999999999527</v>
      </c>
      <c r="S397" s="211">
        <f t="shared" si="39"/>
        <v>0.98249999999999882</v>
      </c>
      <c r="T397" s="211">
        <f t="shared" si="39"/>
        <v>0.89249999999999885</v>
      </c>
    </row>
    <row r="398" spans="18:20" x14ac:dyDescent="0.2">
      <c r="R398" s="207">
        <f t="shared" si="36"/>
        <v>4.2699999999999525</v>
      </c>
      <c r="S398" s="211">
        <f t="shared" si="39"/>
        <v>0.98260869565217268</v>
      </c>
      <c r="T398" s="211">
        <f t="shared" si="39"/>
        <v>0.89260869565217271</v>
      </c>
    </row>
    <row r="399" spans="18:20" x14ac:dyDescent="0.2">
      <c r="R399" s="207">
        <f t="shared" si="36"/>
        <v>4.2799999999999523</v>
      </c>
      <c r="S399" s="211">
        <f t="shared" si="39"/>
        <v>0.98271739130434654</v>
      </c>
      <c r="T399" s="211">
        <f t="shared" si="39"/>
        <v>0.89271739130434657</v>
      </c>
    </row>
    <row r="400" spans="18:20" x14ac:dyDescent="0.2">
      <c r="R400" s="207">
        <f t="shared" si="36"/>
        <v>4.2899999999999521</v>
      </c>
      <c r="S400" s="211">
        <f t="shared" si="39"/>
        <v>0.98282608695652041</v>
      </c>
      <c r="T400" s="211">
        <f t="shared" si="39"/>
        <v>0.89282608695652044</v>
      </c>
    </row>
    <row r="401" spans="18:20" x14ac:dyDescent="0.2">
      <c r="R401" s="207">
        <f t="shared" si="36"/>
        <v>4.2999999999999519</v>
      </c>
      <c r="S401" s="211">
        <f t="shared" si="39"/>
        <v>0.98293478260869427</v>
      </c>
      <c r="T401" s="211">
        <f t="shared" si="39"/>
        <v>0.8929347826086943</v>
      </c>
    </row>
    <row r="402" spans="18:20" x14ac:dyDescent="0.2">
      <c r="R402" s="207">
        <f t="shared" si="36"/>
        <v>4.3099999999999516</v>
      </c>
      <c r="S402" s="211">
        <f t="shared" si="39"/>
        <v>0.98304347826086813</v>
      </c>
      <c r="T402" s="211">
        <f t="shared" si="39"/>
        <v>0.89304347826086816</v>
      </c>
    </row>
    <row r="403" spans="18:20" x14ac:dyDescent="0.2">
      <c r="R403" s="207">
        <f t="shared" si="36"/>
        <v>4.3199999999999514</v>
      </c>
      <c r="S403" s="211">
        <f t="shared" si="39"/>
        <v>0.98315217391304199</v>
      </c>
      <c r="T403" s="211">
        <f t="shared" si="39"/>
        <v>0.89315217391304202</v>
      </c>
    </row>
    <row r="404" spans="18:20" x14ac:dyDescent="0.2">
      <c r="R404" s="207">
        <f t="shared" si="36"/>
        <v>4.3299999999999512</v>
      </c>
      <c r="S404" s="211">
        <f t="shared" si="39"/>
        <v>0.98326086956521586</v>
      </c>
      <c r="T404" s="211">
        <f t="shared" si="39"/>
        <v>0.89326086956521589</v>
      </c>
    </row>
    <row r="405" spans="18:20" x14ac:dyDescent="0.2">
      <c r="R405" s="207">
        <f t="shared" si="36"/>
        <v>4.339999999999951</v>
      </c>
      <c r="S405" s="211">
        <f t="shared" si="39"/>
        <v>0.98336956521738972</v>
      </c>
      <c r="T405" s="211">
        <f t="shared" si="39"/>
        <v>0.89336956521738975</v>
      </c>
    </row>
    <row r="406" spans="18:20" x14ac:dyDescent="0.2">
      <c r="R406" s="207">
        <f t="shared" si="36"/>
        <v>4.3499999999999508</v>
      </c>
      <c r="S406" s="211">
        <f t="shared" si="39"/>
        <v>0.98347826086956358</v>
      </c>
      <c r="T406" s="211">
        <f t="shared" si="39"/>
        <v>0.89347826086956361</v>
      </c>
    </row>
    <row r="407" spans="18:20" x14ac:dyDescent="0.2">
      <c r="R407" s="207">
        <f t="shared" si="36"/>
        <v>4.3599999999999506</v>
      </c>
      <c r="S407" s="211">
        <f t="shared" ref="S407:T422" si="40">S406+((S$466-S$374)/ROWS($R$375:$R$466))</f>
        <v>0.98358695652173744</v>
      </c>
      <c r="T407" s="211">
        <f t="shared" si="40"/>
        <v>0.89358695652173747</v>
      </c>
    </row>
    <row r="408" spans="18:20" x14ac:dyDescent="0.2">
      <c r="R408" s="207">
        <f t="shared" si="36"/>
        <v>4.3699999999999504</v>
      </c>
      <c r="S408" s="211">
        <f t="shared" si="40"/>
        <v>0.98369565217391131</v>
      </c>
      <c r="T408" s="211">
        <f t="shared" si="40"/>
        <v>0.89369565217391134</v>
      </c>
    </row>
    <row r="409" spans="18:20" x14ac:dyDescent="0.2">
      <c r="R409" s="207">
        <f t="shared" si="36"/>
        <v>4.3799999999999502</v>
      </c>
      <c r="S409" s="211">
        <f t="shared" si="40"/>
        <v>0.98380434782608517</v>
      </c>
      <c r="T409" s="211">
        <f t="shared" si="40"/>
        <v>0.8938043478260852</v>
      </c>
    </row>
    <row r="410" spans="18:20" x14ac:dyDescent="0.2">
      <c r="R410" s="207">
        <f t="shared" si="36"/>
        <v>4.3899999999999499</v>
      </c>
      <c r="S410" s="211">
        <f t="shared" si="40"/>
        <v>0.98391304347825903</v>
      </c>
      <c r="T410" s="211">
        <f t="shared" si="40"/>
        <v>0.89391304347825906</v>
      </c>
    </row>
    <row r="411" spans="18:20" x14ac:dyDescent="0.2">
      <c r="R411" s="207">
        <f t="shared" si="36"/>
        <v>4.3999999999999497</v>
      </c>
      <c r="S411" s="211">
        <f t="shared" si="40"/>
        <v>0.98402173913043289</v>
      </c>
      <c r="T411" s="211">
        <f t="shared" si="40"/>
        <v>0.89402173913043292</v>
      </c>
    </row>
    <row r="412" spans="18:20" x14ac:dyDescent="0.2">
      <c r="R412" s="207">
        <f t="shared" si="36"/>
        <v>4.4099999999999495</v>
      </c>
      <c r="S412" s="211">
        <f t="shared" si="40"/>
        <v>0.98413043478260676</v>
      </c>
      <c r="T412" s="211">
        <f t="shared" si="40"/>
        <v>0.89413043478260679</v>
      </c>
    </row>
    <row r="413" spans="18:20" x14ac:dyDescent="0.2">
      <c r="R413" s="207">
        <f t="shared" si="36"/>
        <v>4.4199999999999493</v>
      </c>
      <c r="S413" s="211">
        <f t="shared" si="40"/>
        <v>0.98423913043478062</v>
      </c>
      <c r="T413" s="211">
        <f t="shared" si="40"/>
        <v>0.89423913043478065</v>
      </c>
    </row>
    <row r="414" spans="18:20" x14ac:dyDescent="0.2">
      <c r="R414" s="207">
        <f t="shared" si="36"/>
        <v>4.4299999999999491</v>
      </c>
      <c r="S414" s="211">
        <f t="shared" si="40"/>
        <v>0.98434782608695448</v>
      </c>
      <c r="T414" s="211">
        <f t="shared" si="40"/>
        <v>0.89434782608695451</v>
      </c>
    </row>
    <row r="415" spans="18:20" x14ac:dyDescent="0.2">
      <c r="R415" s="207">
        <f t="shared" si="36"/>
        <v>4.4399999999999489</v>
      </c>
      <c r="S415" s="211">
        <f t="shared" si="40"/>
        <v>0.98445652173912834</v>
      </c>
      <c r="T415" s="211">
        <f t="shared" si="40"/>
        <v>0.89445652173912837</v>
      </c>
    </row>
    <row r="416" spans="18:20" x14ac:dyDescent="0.2">
      <c r="R416" s="207">
        <f t="shared" si="36"/>
        <v>4.4499999999999487</v>
      </c>
      <c r="S416" s="211">
        <f t="shared" si="40"/>
        <v>0.98456521739130221</v>
      </c>
      <c r="T416" s="211">
        <f t="shared" si="40"/>
        <v>0.89456521739130224</v>
      </c>
    </row>
    <row r="417" spans="18:20" x14ac:dyDescent="0.2">
      <c r="R417" s="207">
        <f t="shared" si="36"/>
        <v>4.4599999999999485</v>
      </c>
      <c r="S417" s="211">
        <f t="shared" si="40"/>
        <v>0.98467391304347607</v>
      </c>
      <c r="T417" s="211">
        <f t="shared" si="40"/>
        <v>0.8946739130434761</v>
      </c>
    </row>
    <row r="418" spans="18:20" x14ac:dyDescent="0.2">
      <c r="R418" s="207">
        <f t="shared" si="36"/>
        <v>4.4699999999999482</v>
      </c>
      <c r="S418" s="211">
        <f t="shared" si="40"/>
        <v>0.98478260869564993</v>
      </c>
      <c r="T418" s="211">
        <f t="shared" si="40"/>
        <v>0.89478260869564996</v>
      </c>
    </row>
    <row r="419" spans="18:20" x14ac:dyDescent="0.2">
      <c r="R419" s="207">
        <f t="shared" si="36"/>
        <v>4.479999999999948</v>
      </c>
      <c r="S419" s="211">
        <f t="shared" si="40"/>
        <v>0.98489130434782379</v>
      </c>
      <c r="T419" s="211">
        <f t="shared" si="40"/>
        <v>0.89489130434782382</v>
      </c>
    </row>
    <row r="420" spans="18:20" x14ac:dyDescent="0.2">
      <c r="R420" s="207">
        <f t="shared" si="36"/>
        <v>4.4899999999999478</v>
      </c>
      <c r="S420" s="211">
        <f t="shared" si="40"/>
        <v>0.98499999999999766</v>
      </c>
      <c r="T420" s="211">
        <f t="shared" si="40"/>
        <v>0.89499999999999769</v>
      </c>
    </row>
    <row r="421" spans="18:20" x14ac:dyDescent="0.2">
      <c r="R421" s="207">
        <f t="shared" si="36"/>
        <v>4.4999999999999476</v>
      </c>
      <c r="S421" s="211">
        <f t="shared" si="40"/>
        <v>0.98510869565217152</v>
      </c>
      <c r="T421" s="211">
        <f t="shared" si="40"/>
        <v>0.89510869565217155</v>
      </c>
    </row>
    <row r="422" spans="18:20" x14ac:dyDescent="0.2">
      <c r="R422" s="207">
        <f t="shared" si="36"/>
        <v>4.5099999999999474</v>
      </c>
      <c r="S422" s="211">
        <f t="shared" si="40"/>
        <v>0.98521739130434538</v>
      </c>
      <c r="T422" s="211">
        <f t="shared" si="40"/>
        <v>0.89521739130434541</v>
      </c>
    </row>
    <row r="423" spans="18:20" x14ac:dyDescent="0.2">
      <c r="R423" s="207">
        <f t="shared" si="36"/>
        <v>4.5199999999999472</v>
      </c>
      <c r="S423" s="211">
        <f t="shared" ref="S423:T438" si="41">S422+((S$466-S$374)/ROWS($R$375:$R$466))</f>
        <v>0.98532608695651924</v>
      </c>
      <c r="T423" s="211">
        <f t="shared" si="41"/>
        <v>0.89532608695651927</v>
      </c>
    </row>
    <row r="424" spans="18:20" x14ac:dyDescent="0.2">
      <c r="R424" s="207">
        <f t="shared" si="36"/>
        <v>4.529999999999947</v>
      </c>
      <c r="S424" s="211">
        <f t="shared" si="41"/>
        <v>0.98543478260869311</v>
      </c>
      <c r="T424" s="211">
        <f t="shared" si="41"/>
        <v>0.89543478260869314</v>
      </c>
    </row>
    <row r="425" spans="18:20" x14ac:dyDescent="0.2">
      <c r="R425" s="207">
        <f t="shared" si="36"/>
        <v>4.5399999999999467</v>
      </c>
      <c r="S425" s="211">
        <f t="shared" si="41"/>
        <v>0.98554347826086697</v>
      </c>
      <c r="T425" s="211">
        <f t="shared" si="41"/>
        <v>0.895543478260867</v>
      </c>
    </row>
    <row r="426" spans="18:20" x14ac:dyDescent="0.2">
      <c r="R426" s="207">
        <f t="shared" si="36"/>
        <v>4.5499999999999465</v>
      </c>
      <c r="S426" s="211">
        <f t="shared" si="41"/>
        <v>0.98565217391304083</v>
      </c>
      <c r="T426" s="211">
        <f t="shared" si="41"/>
        <v>0.89565217391304086</v>
      </c>
    </row>
    <row r="427" spans="18:20" x14ac:dyDescent="0.2">
      <c r="R427" s="207">
        <f t="shared" si="36"/>
        <v>4.5599999999999463</v>
      </c>
      <c r="S427" s="211">
        <f t="shared" si="41"/>
        <v>0.98576086956521469</v>
      </c>
      <c r="T427" s="211">
        <f t="shared" si="41"/>
        <v>0.89576086956521472</v>
      </c>
    </row>
    <row r="428" spans="18:20" x14ac:dyDescent="0.2">
      <c r="R428" s="207">
        <f t="shared" si="36"/>
        <v>4.5699999999999461</v>
      </c>
      <c r="S428" s="211">
        <f t="shared" si="41"/>
        <v>0.98586956521738855</v>
      </c>
      <c r="T428" s="211">
        <f t="shared" si="41"/>
        <v>0.89586956521738859</v>
      </c>
    </row>
    <row r="429" spans="18:20" x14ac:dyDescent="0.2">
      <c r="R429" s="207">
        <f t="shared" si="36"/>
        <v>4.5799999999999459</v>
      </c>
      <c r="S429" s="211">
        <f t="shared" si="41"/>
        <v>0.98597826086956242</v>
      </c>
      <c r="T429" s="211">
        <f t="shared" si="41"/>
        <v>0.89597826086956245</v>
      </c>
    </row>
    <row r="430" spans="18:20" x14ac:dyDescent="0.2">
      <c r="R430" s="207">
        <f t="shared" si="36"/>
        <v>4.5899999999999457</v>
      </c>
      <c r="S430" s="211">
        <f t="shared" si="41"/>
        <v>0.98608695652173628</v>
      </c>
      <c r="T430" s="211">
        <f t="shared" si="41"/>
        <v>0.89608695652173631</v>
      </c>
    </row>
    <row r="431" spans="18:20" x14ac:dyDescent="0.2">
      <c r="R431" s="207">
        <f t="shared" si="36"/>
        <v>4.5999999999999455</v>
      </c>
      <c r="S431" s="211">
        <f t="shared" si="41"/>
        <v>0.98619565217391014</v>
      </c>
      <c r="T431" s="211">
        <f t="shared" si="41"/>
        <v>0.89619565217391017</v>
      </c>
    </row>
    <row r="432" spans="18:20" x14ac:dyDescent="0.2">
      <c r="R432" s="207">
        <f t="shared" si="36"/>
        <v>4.6099999999999453</v>
      </c>
      <c r="S432" s="211">
        <f t="shared" si="41"/>
        <v>0.986304347826084</v>
      </c>
      <c r="T432" s="211">
        <f t="shared" si="41"/>
        <v>0.89630434782608404</v>
      </c>
    </row>
    <row r="433" spans="18:20" x14ac:dyDescent="0.2">
      <c r="R433" s="207">
        <f t="shared" si="36"/>
        <v>4.619999999999945</v>
      </c>
      <c r="S433" s="211">
        <f t="shared" si="41"/>
        <v>0.98641304347825787</v>
      </c>
      <c r="T433" s="211">
        <f t="shared" si="41"/>
        <v>0.8964130434782579</v>
      </c>
    </row>
    <row r="434" spans="18:20" x14ac:dyDescent="0.2">
      <c r="R434" s="207">
        <f t="shared" si="36"/>
        <v>4.6299999999999448</v>
      </c>
      <c r="S434" s="211">
        <f t="shared" si="41"/>
        <v>0.98652173913043173</v>
      </c>
      <c r="T434" s="211">
        <f t="shared" si="41"/>
        <v>0.89652173913043176</v>
      </c>
    </row>
    <row r="435" spans="18:20" x14ac:dyDescent="0.2">
      <c r="R435" s="207">
        <f t="shared" ref="R435:R498" si="42">R434+0.01</f>
        <v>4.6399999999999446</v>
      </c>
      <c r="S435" s="211">
        <f t="shared" si="41"/>
        <v>0.98663043478260559</v>
      </c>
      <c r="T435" s="211">
        <f t="shared" si="41"/>
        <v>0.89663043478260562</v>
      </c>
    </row>
    <row r="436" spans="18:20" x14ac:dyDescent="0.2">
      <c r="R436" s="207">
        <f t="shared" si="42"/>
        <v>4.6499999999999444</v>
      </c>
      <c r="S436" s="211">
        <f t="shared" si="41"/>
        <v>0.98673913043477945</v>
      </c>
      <c r="T436" s="211">
        <f t="shared" si="41"/>
        <v>0.89673913043477949</v>
      </c>
    </row>
    <row r="437" spans="18:20" x14ac:dyDescent="0.2">
      <c r="R437" s="207">
        <f t="shared" si="42"/>
        <v>4.6599999999999442</v>
      </c>
      <c r="S437" s="211">
        <f t="shared" si="41"/>
        <v>0.98684782608695332</v>
      </c>
      <c r="T437" s="211">
        <f t="shared" si="41"/>
        <v>0.89684782608695335</v>
      </c>
    </row>
    <row r="438" spans="18:20" x14ac:dyDescent="0.2">
      <c r="R438" s="207">
        <f t="shared" si="42"/>
        <v>4.669999999999944</v>
      </c>
      <c r="S438" s="211">
        <f t="shared" si="41"/>
        <v>0.98695652173912718</v>
      </c>
      <c r="T438" s="211">
        <f t="shared" si="41"/>
        <v>0.89695652173912721</v>
      </c>
    </row>
    <row r="439" spans="18:20" x14ac:dyDescent="0.2">
      <c r="R439" s="207">
        <f t="shared" si="42"/>
        <v>4.6799999999999438</v>
      </c>
      <c r="S439" s="211">
        <f t="shared" ref="S439:T454" si="43">S438+((S$466-S$374)/ROWS($R$375:$R$466))</f>
        <v>0.98706521739130104</v>
      </c>
      <c r="T439" s="211">
        <f t="shared" si="43"/>
        <v>0.89706521739130107</v>
      </c>
    </row>
    <row r="440" spans="18:20" x14ac:dyDescent="0.2">
      <c r="R440" s="207">
        <f t="shared" si="42"/>
        <v>4.6899999999999435</v>
      </c>
      <c r="S440" s="211">
        <f t="shared" si="43"/>
        <v>0.9871739130434749</v>
      </c>
      <c r="T440" s="211">
        <f t="shared" si="43"/>
        <v>0.89717391304347494</v>
      </c>
    </row>
    <row r="441" spans="18:20" x14ac:dyDescent="0.2">
      <c r="R441" s="207">
        <f t="shared" si="42"/>
        <v>4.6999999999999433</v>
      </c>
      <c r="S441" s="211">
        <f t="shared" si="43"/>
        <v>0.98728260869564877</v>
      </c>
      <c r="T441" s="211">
        <f t="shared" si="43"/>
        <v>0.8972826086956488</v>
      </c>
    </row>
    <row r="442" spans="18:20" x14ac:dyDescent="0.2">
      <c r="R442" s="207">
        <f t="shared" si="42"/>
        <v>4.7099999999999431</v>
      </c>
      <c r="S442" s="211">
        <f t="shared" si="43"/>
        <v>0.98739130434782263</v>
      </c>
      <c r="T442" s="211">
        <f t="shared" si="43"/>
        <v>0.89739130434782266</v>
      </c>
    </row>
    <row r="443" spans="18:20" x14ac:dyDescent="0.2">
      <c r="R443" s="207">
        <f t="shared" si="42"/>
        <v>4.7199999999999429</v>
      </c>
      <c r="S443" s="211">
        <f t="shared" si="43"/>
        <v>0.98749999999999649</v>
      </c>
      <c r="T443" s="211">
        <f t="shared" si="43"/>
        <v>0.89749999999999652</v>
      </c>
    </row>
    <row r="444" spans="18:20" x14ac:dyDescent="0.2">
      <c r="R444" s="207">
        <f t="shared" si="42"/>
        <v>4.7299999999999427</v>
      </c>
      <c r="S444" s="211">
        <f t="shared" si="43"/>
        <v>0.98760869565217035</v>
      </c>
      <c r="T444" s="211">
        <f t="shared" si="43"/>
        <v>0.89760869565217039</v>
      </c>
    </row>
    <row r="445" spans="18:20" x14ac:dyDescent="0.2">
      <c r="R445" s="207">
        <f t="shared" si="42"/>
        <v>4.7399999999999425</v>
      </c>
      <c r="S445" s="211">
        <f t="shared" si="43"/>
        <v>0.98771739130434422</v>
      </c>
      <c r="T445" s="211">
        <f t="shared" si="43"/>
        <v>0.89771739130434425</v>
      </c>
    </row>
    <row r="446" spans="18:20" x14ac:dyDescent="0.2">
      <c r="R446" s="207">
        <f t="shared" si="42"/>
        <v>4.7499999999999423</v>
      </c>
      <c r="S446" s="211">
        <f t="shared" si="43"/>
        <v>0.98782608695651808</v>
      </c>
      <c r="T446" s="211">
        <f t="shared" si="43"/>
        <v>0.89782608695651811</v>
      </c>
    </row>
    <row r="447" spans="18:20" x14ac:dyDescent="0.2">
      <c r="R447" s="207">
        <f t="shared" si="42"/>
        <v>4.7599999999999421</v>
      </c>
      <c r="S447" s="211">
        <f t="shared" si="43"/>
        <v>0.98793478260869194</v>
      </c>
      <c r="T447" s="211">
        <f t="shared" si="43"/>
        <v>0.89793478260869197</v>
      </c>
    </row>
    <row r="448" spans="18:20" x14ac:dyDescent="0.2">
      <c r="R448" s="207">
        <f t="shared" si="42"/>
        <v>4.7699999999999418</v>
      </c>
      <c r="S448" s="211">
        <f t="shared" si="43"/>
        <v>0.9880434782608658</v>
      </c>
      <c r="T448" s="211">
        <f t="shared" si="43"/>
        <v>0.89804347826086584</v>
      </c>
    </row>
    <row r="449" spans="18:20" x14ac:dyDescent="0.2">
      <c r="R449" s="207">
        <f t="shared" si="42"/>
        <v>4.7799999999999416</v>
      </c>
      <c r="S449" s="211">
        <f t="shared" si="43"/>
        <v>0.98815217391303967</v>
      </c>
      <c r="T449" s="211">
        <f t="shared" si="43"/>
        <v>0.8981521739130397</v>
      </c>
    </row>
    <row r="450" spans="18:20" x14ac:dyDescent="0.2">
      <c r="R450" s="207">
        <f t="shared" si="42"/>
        <v>4.7899999999999414</v>
      </c>
      <c r="S450" s="211">
        <f t="shared" si="43"/>
        <v>0.98826086956521353</v>
      </c>
      <c r="T450" s="211">
        <f t="shared" si="43"/>
        <v>0.89826086956521356</v>
      </c>
    </row>
    <row r="451" spans="18:20" x14ac:dyDescent="0.2">
      <c r="R451" s="207">
        <f t="shared" si="42"/>
        <v>4.7999999999999412</v>
      </c>
      <c r="S451" s="211">
        <f t="shared" si="43"/>
        <v>0.98836956521738739</v>
      </c>
      <c r="T451" s="211">
        <f t="shared" si="43"/>
        <v>0.89836956521738742</v>
      </c>
    </row>
    <row r="452" spans="18:20" x14ac:dyDescent="0.2">
      <c r="R452" s="207">
        <f t="shared" si="42"/>
        <v>4.809999999999941</v>
      </c>
      <c r="S452" s="211">
        <f t="shared" si="43"/>
        <v>0.98847826086956125</v>
      </c>
      <c r="T452" s="211">
        <f t="shared" si="43"/>
        <v>0.89847826086956128</v>
      </c>
    </row>
    <row r="453" spans="18:20" x14ac:dyDescent="0.2">
      <c r="R453" s="207">
        <f t="shared" si="42"/>
        <v>4.8199999999999408</v>
      </c>
      <c r="S453" s="211">
        <f t="shared" si="43"/>
        <v>0.98858695652173512</v>
      </c>
      <c r="T453" s="211">
        <f t="shared" si="43"/>
        <v>0.89858695652173515</v>
      </c>
    </row>
    <row r="454" spans="18:20" x14ac:dyDescent="0.2">
      <c r="R454" s="207">
        <f t="shared" si="42"/>
        <v>4.8299999999999406</v>
      </c>
      <c r="S454" s="211">
        <f t="shared" si="43"/>
        <v>0.98869565217390898</v>
      </c>
      <c r="T454" s="211">
        <f t="shared" si="43"/>
        <v>0.89869565217390901</v>
      </c>
    </row>
    <row r="455" spans="18:20" x14ac:dyDescent="0.2">
      <c r="R455" s="207">
        <f t="shared" si="42"/>
        <v>4.8399999999999403</v>
      </c>
      <c r="S455" s="211">
        <f t="shared" ref="S455:T465" si="44">S454+((S$466-S$374)/ROWS($R$375:$R$466))</f>
        <v>0.98880434782608284</v>
      </c>
      <c r="T455" s="211">
        <f t="shared" si="44"/>
        <v>0.89880434782608287</v>
      </c>
    </row>
    <row r="456" spans="18:20" x14ac:dyDescent="0.2">
      <c r="R456" s="207">
        <f t="shared" si="42"/>
        <v>4.8499999999999401</v>
      </c>
      <c r="S456" s="211">
        <f t="shared" si="44"/>
        <v>0.9889130434782567</v>
      </c>
      <c r="T456" s="211">
        <f t="shared" si="44"/>
        <v>0.89891304347825673</v>
      </c>
    </row>
    <row r="457" spans="18:20" x14ac:dyDescent="0.2">
      <c r="R457" s="207">
        <f t="shared" si="42"/>
        <v>4.8599999999999399</v>
      </c>
      <c r="S457" s="211">
        <f t="shared" si="44"/>
        <v>0.98902173913043057</v>
      </c>
      <c r="T457" s="211">
        <f t="shared" si="44"/>
        <v>0.8990217391304306</v>
      </c>
    </row>
    <row r="458" spans="18:20" x14ac:dyDescent="0.2">
      <c r="R458" s="207">
        <f t="shared" si="42"/>
        <v>4.8699999999999397</v>
      </c>
      <c r="S458" s="211">
        <f t="shared" si="44"/>
        <v>0.98913043478260443</v>
      </c>
      <c r="T458" s="211">
        <f t="shared" si="44"/>
        <v>0.89913043478260446</v>
      </c>
    </row>
    <row r="459" spans="18:20" x14ac:dyDescent="0.2">
      <c r="R459" s="207">
        <f t="shared" si="42"/>
        <v>4.8799999999999395</v>
      </c>
      <c r="S459" s="211">
        <f t="shared" si="44"/>
        <v>0.98923913043477829</v>
      </c>
      <c r="T459" s="211">
        <f t="shared" si="44"/>
        <v>0.89923913043477832</v>
      </c>
    </row>
    <row r="460" spans="18:20" x14ac:dyDescent="0.2">
      <c r="R460" s="207">
        <f t="shared" si="42"/>
        <v>4.8899999999999393</v>
      </c>
      <c r="S460" s="211">
        <f t="shared" si="44"/>
        <v>0.98934782608695215</v>
      </c>
      <c r="T460" s="211">
        <f t="shared" si="44"/>
        <v>0.89934782608695218</v>
      </c>
    </row>
    <row r="461" spans="18:20" x14ac:dyDescent="0.2">
      <c r="R461" s="207">
        <f t="shared" si="42"/>
        <v>4.8999999999999391</v>
      </c>
      <c r="S461" s="211">
        <f t="shared" si="44"/>
        <v>0.98945652173912602</v>
      </c>
      <c r="T461" s="211">
        <f t="shared" si="44"/>
        <v>0.89945652173912605</v>
      </c>
    </row>
    <row r="462" spans="18:20" x14ac:dyDescent="0.2">
      <c r="R462" s="207">
        <f t="shared" si="42"/>
        <v>4.9099999999999389</v>
      </c>
      <c r="S462" s="211">
        <f t="shared" si="44"/>
        <v>0.98956521739129988</v>
      </c>
      <c r="T462" s="211">
        <f t="shared" si="44"/>
        <v>0.89956521739129991</v>
      </c>
    </row>
    <row r="463" spans="18:20" x14ac:dyDescent="0.2">
      <c r="R463" s="207">
        <f t="shared" si="42"/>
        <v>4.9199999999999386</v>
      </c>
      <c r="S463" s="211">
        <f t="shared" si="44"/>
        <v>0.98967391304347374</v>
      </c>
      <c r="T463" s="211">
        <f t="shared" si="44"/>
        <v>0.89967391304347377</v>
      </c>
    </row>
    <row r="464" spans="18:20" x14ac:dyDescent="0.2">
      <c r="R464" s="207">
        <f t="shared" si="42"/>
        <v>4.9299999999999384</v>
      </c>
      <c r="S464" s="211">
        <f t="shared" si="44"/>
        <v>0.9897826086956476</v>
      </c>
      <c r="T464" s="211">
        <f t="shared" si="44"/>
        <v>0.89978260869564763</v>
      </c>
    </row>
    <row r="465" spans="18:20" x14ac:dyDescent="0.2">
      <c r="R465" s="207">
        <f t="shared" si="42"/>
        <v>4.9399999999999382</v>
      </c>
      <c r="S465" s="211">
        <f t="shared" si="44"/>
        <v>0.98989130434782147</v>
      </c>
      <c r="T465" s="211">
        <f t="shared" si="44"/>
        <v>0.8998913043478215</v>
      </c>
    </row>
    <row r="466" spans="18:20" x14ac:dyDescent="0.2">
      <c r="R466" s="207">
        <f t="shared" si="42"/>
        <v>4.949999999999938</v>
      </c>
      <c r="S466" s="209">
        <f>G18</f>
        <v>0.99</v>
      </c>
      <c r="T466" s="209">
        <f>I18</f>
        <v>0.9</v>
      </c>
    </row>
    <row r="467" spans="18:20" x14ac:dyDescent="0.2">
      <c r="R467" s="207">
        <f t="shared" si="42"/>
        <v>4.9599999999999378</v>
      </c>
      <c r="S467" s="211">
        <f t="shared" ref="S467:T482" si="45">S466+((S$636-S$466)/ROWS($R$467:$R$636))</f>
        <v>0.99011764705882355</v>
      </c>
      <c r="T467" s="211">
        <f t="shared" si="45"/>
        <v>0.9</v>
      </c>
    </row>
    <row r="468" spans="18:20" x14ac:dyDescent="0.2">
      <c r="R468" s="207">
        <f t="shared" si="42"/>
        <v>4.9699999999999376</v>
      </c>
      <c r="S468" s="211">
        <f t="shared" si="45"/>
        <v>0.9902352941176471</v>
      </c>
      <c r="T468" s="211">
        <f t="shared" si="45"/>
        <v>0.9</v>
      </c>
    </row>
    <row r="469" spans="18:20" x14ac:dyDescent="0.2">
      <c r="R469" s="207">
        <f t="shared" si="42"/>
        <v>4.9799999999999374</v>
      </c>
      <c r="S469" s="211">
        <f t="shared" si="45"/>
        <v>0.99035294117647066</v>
      </c>
      <c r="T469" s="211">
        <f t="shared" si="45"/>
        <v>0.9</v>
      </c>
    </row>
    <row r="470" spans="18:20" x14ac:dyDescent="0.2">
      <c r="R470" s="207">
        <f t="shared" si="42"/>
        <v>4.9899999999999372</v>
      </c>
      <c r="S470" s="211">
        <f t="shared" si="45"/>
        <v>0.99047058823529421</v>
      </c>
      <c r="T470" s="211">
        <f t="shared" si="45"/>
        <v>0.9</v>
      </c>
    </row>
    <row r="471" spans="18:20" x14ac:dyDescent="0.2">
      <c r="R471" s="207">
        <f t="shared" si="42"/>
        <v>4.9999999999999369</v>
      </c>
      <c r="S471" s="211">
        <f t="shared" si="45"/>
        <v>0.99058823529411777</v>
      </c>
      <c r="T471" s="211">
        <f t="shared" si="45"/>
        <v>0.9</v>
      </c>
    </row>
    <row r="472" spans="18:20" x14ac:dyDescent="0.2">
      <c r="R472" s="207">
        <f t="shared" si="42"/>
        <v>5.0099999999999367</v>
      </c>
      <c r="S472" s="211">
        <f t="shared" si="45"/>
        <v>0.99070588235294132</v>
      </c>
      <c r="T472" s="211">
        <f t="shared" si="45"/>
        <v>0.9</v>
      </c>
    </row>
    <row r="473" spans="18:20" x14ac:dyDescent="0.2">
      <c r="R473" s="207">
        <f t="shared" si="42"/>
        <v>5.0199999999999365</v>
      </c>
      <c r="S473" s="211">
        <f t="shared" si="45"/>
        <v>0.99082352941176488</v>
      </c>
      <c r="T473" s="211">
        <f t="shared" si="45"/>
        <v>0.9</v>
      </c>
    </row>
    <row r="474" spans="18:20" x14ac:dyDescent="0.2">
      <c r="R474" s="207">
        <f t="shared" si="42"/>
        <v>5.0299999999999363</v>
      </c>
      <c r="S474" s="211">
        <f t="shared" si="45"/>
        <v>0.99094117647058844</v>
      </c>
      <c r="T474" s="211">
        <f t="shared" si="45"/>
        <v>0.9</v>
      </c>
    </row>
    <row r="475" spans="18:20" x14ac:dyDescent="0.2">
      <c r="R475" s="207">
        <f t="shared" si="42"/>
        <v>5.0399999999999361</v>
      </c>
      <c r="S475" s="211">
        <f t="shared" si="45"/>
        <v>0.99105882352941199</v>
      </c>
      <c r="T475" s="211">
        <f t="shared" si="45"/>
        <v>0.9</v>
      </c>
    </row>
    <row r="476" spans="18:20" x14ac:dyDescent="0.2">
      <c r="R476" s="207">
        <f t="shared" si="42"/>
        <v>5.0499999999999359</v>
      </c>
      <c r="S476" s="211">
        <f t="shared" si="45"/>
        <v>0.99117647058823555</v>
      </c>
      <c r="T476" s="211">
        <f t="shared" si="45"/>
        <v>0.9</v>
      </c>
    </row>
    <row r="477" spans="18:20" x14ac:dyDescent="0.2">
      <c r="R477" s="207">
        <f t="shared" si="42"/>
        <v>5.0599999999999357</v>
      </c>
      <c r="S477" s="211">
        <f t="shared" si="45"/>
        <v>0.9912941176470591</v>
      </c>
      <c r="T477" s="211">
        <f t="shared" si="45"/>
        <v>0.9</v>
      </c>
    </row>
    <row r="478" spans="18:20" x14ac:dyDescent="0.2">
      <c r="R478" s="207">
        <f t="shared" si="42"/>
        <v>5.0699999999999354</v>
      </c>
      <c r="S478" s="211">
        <f t="shared" si="45"/>
        <v>0.99141176470588266</v>
      </c>
      <c r="T478" s="211">
        <f t="shared" si="45"/>
        <v>0.9</v>
      </c>
    </row>
    <row r="479" spans="18:20" x14ac:dyDescent="0.2">
      <c r="R479" s="207">
        <f t="shared" si="42"/>
        <v>5.0799999999999352</v>
      </c>
      <c r="S479" s="211">
        <f t="shared" si="45"/>
        <v>0.99152941176470621</v>
      </c>
      <c r="T479" s="211">
        <f t="shared" si="45"/>
        <v>0.9</v>
      </c>
    </row>
    <row r="480" spans="18:20" x14ac:dyDescent="0.2">
      <c r="R480" s="207">
        <f t="shared" si="42"/>
        <v>5.089999999999935</v>
      </c>
      <c r="S480" s="211">
        <f t="shared" si="45"/>
        <v>0.99164705882352977</v>
      </c>
      <c r="T480" s="211">
        <f t="shared" si="45"/>
        <v>0.9</v>
      </c>
    </row>
    <row r="481" spans="18:20" x14ac:dyDescent="0.2">
      <c r="R481" s="207">
        <f t="shared" si="42"/>
        <v>5.0999999999999348</v>
      </c>
      <c r="S481" s="211">
        <f t="shared" si="45"/>
        <v>0.99176470588235333</v>
      </c>
      <c r="T481" s="211">
        <f t="shared" si="45"/>
        <v>0.9</v>
      </c>
    </row>
    <row r="482" spans="18:20" x14ac:dyDescent="0.2">
      <c r="R482" s="207">
        <f t="shared" si="42"/>
        <v>5.1099999999999346</v>
      </c>
      <c r="S482" s="211">
        <f t="shared" si="45"/>
        <v>0.99188235294117688</v>
      </c>
      <c r="T482" s="211">
        <f t="shared" si="45"/>
        <v>0.9</v>
      </c>
    </row>
    <row r="483" spans="18:20" x14ac:dyDescent="0.2">
      <c r="R483" s="207">
        <f t="shared" si="42"/>
        <v>5.1199999999999344</v>
      </c>
      <c r="S483" s="211">
        <f t="shared" ref="S483:T498" si="46">S482+((S$636-S$466)/ROWS($R$467:$R$636))</f>
        <v>0.99200000000000044</v>
      </c>
      <c r="T483" s="211">
        <f t="shared" si="46"/>
        <v>0.9</v>
      </c>
    </row>
    <row r="484" spans="18:20" x14ac:dyDescent="0.2">
      <c r="R484" s="207">
        <f t="shared" si="42"/>
        <v>5.1299999999999342</v>
      </c>
      <c r="S484" s="211">
        <f t="shared" si="46"/>
        <v>0.99211764705882399</v>
      </c>
      <c r="T484" s="211">
        <f t="shared" si="46"/>
        <v>0.9</v>
      </c>
    </row>
    <row r="485" spans="18:20" x14ac:dyDescent="0.2">
      <c r="R485" s="207">
        <f t="shared" si="42"/>
        <v>5.139999999999934</v>
      </c>
      <c r="S485" s="211">
        <f t="shared" si="46"/>
        <v>0.99223529411764755</v>
      </c>
      <c r="T485" s="211">
        <f t="shared" si="46"/>
        <v>0.9</v>
      </c>
    </row>
    <row r="486" spans="18:20" x14ac:dyDescent="0.2">
      <c r="R486" s="207">
        <f t="shared" si="42"/>
        <v>5.1499999999999337</v>
      </c>
      <c r="S486" s="211">
        <f t="shared" si="46"/>
        <v>0.9923529411764711</v>
      </c>
      <c r="T486" s="211">
        <f t="shared" si="46"/>
        <v>0.9</v>
      </c>
    </row>
    <row r="487" spans="18:20" x14ac:dyDescent="0.2">
      <c r="R487" s="207">
        <f t="shared" si="42"/>
        <v>5.1599999999999335</v>
      </c>
      <c r="S487" s="211">
        <f t="shared" si="46"/>
        <v>0.99247058823529466</v>
      </c>
      <c r="T487" s="211">
        <f t="shared" si="46"/>
        <v>0.9</v>
      </c>
    </row>
    <row r="488" spans="18:20" x14ac:dyDescent="0.2">
      <c r="R488" s="207">
        <f t="shared" si="42"/>
        <v>5.1699999999999333</v>
      </c>
      <c r="S488" s="211">
        <f t="shared" si="46"/>
        <v>0.99258823529411822</v>
      </c>
      <c r="T488" s="211">
        <f t="shared" si="46"/>
        <v>0.9</v>
      </c>
    </row>
    <row r="489" spans="18:20" x14ac:dyDescent="0.2">
      <c r="R489" s="207">
        <f t="shared" si="42"/>
        <v>5.1799999999999331</v>
      </c>
      <c r="S489" s="211">
        <f t="shared" si="46"/>
        <v>0.99270588235294177</v>
      </c>
      <c r="T489" s="211">
        <f t="shared" si="46"/>
        <v>0.9</v>
      </c>
    </row>
    <row r="490" spans="18:20" x14ac:dyDescent="0.2">
      <c r="R490" s="207">
        <f t="shared" si="42"/>
        <v>5.1899999999999329</v>
      </c>
      <c r="S490" s="211">
        <f t="shared" si="46"/>
        <v>0.99282352941176533</v>
      </c>
      <c r="T490" s="211">
        <f t="shared" si="46"/>
        <v>0.9</v>
      </c>
    </row>
    <row r="491" spans="18:20" x14ac:dyDescent="0.2">
      <c r="R491" s="207">
        <f t="shared" si="42"/>
        <v>5.1999999999999327</v>
      </c>
      <c r="S491" s="211">
        <f t="shared" si="46"/>
        <v>0.99294117647058888</v>
      </c>
      <c r="T491" s="211">
        <f t="shared" si="46"/>
        <v>0.9</v>
      </c>
    </row>
    <row r="492" spans="18:20" x14ac:dyDescent="0.2">
      <c r="R492" s="207">
        <f t="shared" si="42"/>
        <v>5.2099999999999325</v>
      </c>
      <c r="S492" s="211">
        <f t="shared" si="46"/>
        <v>0.99305882352941244</v>
      </c>
      <c r="T492" s="211">
        <f t="shared" si="46"/>
        <v>0.9</v>
      </c>
    </row>
    <row r="493" spans="18:20" x14ac:dyDescent="0.2">
      <c r="R493" s="207">
        <f t="shared" si="42"/>
        <v>5.2199999999999322</v>
      </c>
      <c r="S493" s="211">
        <f t="shared" si="46"/>
        <v>0.99317647058823599</v>
      </c>
      <c r="T493" s="211">
        <f t="shared" si="46"/>
        <v>0.9</v>
      </c>
    </row>
    <row r="494" spans="18:20" x14ac:dyDescent="0.2">
      <c r="R494" s="207">
        <f t="shared" si="42"/>
        <v>5.229999999999932</v>
      </c>
      <c r="S494" s="211">
        <f t="shared" si="46"/>
        <v>0.99329411764705955</v>
      </c>
      <c r="T494" s="211">
        <f t="shared" si="46"/>
        <v>0.9</v>
      </c>
    </row>
    <row r="495" spans="18:20" x14ac:dyDescent="0.2">
      <c r="R495" s="207">
        <f t="shared" si="42"/>
        <v>5.2399999999999318</v>
      </c>
      <c r="S495" s="211">
        <f t="shared" si="46"/>
        <v>0.9934117647058831</v>
      </c>
      <c r="T495" s="211">
        <f t="shared" si="46"/>
        <v>0.9</v>
      </c>
    </row>
    <row r="496" spans="18:20" x14ac:dyDescent="0.2">
      <c r="R496" s="207">
        <f t="shared" si="42"/>
        <v>5.2499999999999316</v>
      </c>
      <c r="S496" s="211">
        <f t="shared" si="46"/>
        <v>0.99352941176470666</v>
      </c>
      <c r="T496" s="211">
        <f t="shared" si="46"/>
        <v>0.9</v>
      </c>
    </row>
    <row r="497" spans="18:20" x14ac:dyDescent="0.2">
      <c r="R497" s="207">
        <f t="shared" si="42"/>
        <v>5.2599999999999314</v>
      </c>
      <c r="S497" s="211">
        <f t="shared" si="46"/>
        <v>0.99364705882353022</v>
      </c>
      <c r="T497" s="211">
        <f t="shared" si="46"/>
        <v>0.9</v>
      </c>
    </row>
    <row r="498" spans="18:20" x14ac:dyDescent="0.2">
      <c r="R498" s="207">
        <f t="shared" si="42"/>
        <v>5.2699999999999312</v>
      </c>
      <c r="S498" s="211">
        <f t="shared" si="46"/>
        <v>0.99376470588235377</v>
      </c>
      <c r="T498" s="211">
        <f t="shared" si="46"/>
        <v>0.9</v>
      </c>
    </row>
    <row r="499" spans="18:20" x14ac:dyDescent="0.2">
      <c r="R499" s="207">
        <f t="shared" ref="R499:R562" si="47">R498+0.01</f>
        <v>5.279999999999931</v>
      </c>
      <c r="S499" s="211">
        <f t="shared" ref="S499:T514" si="48">S498+((S$636-S$466)/ROWS($R$467:$R$636))</f>
        <v>0.99388235294117733</v>
      </c>
      <c r="T499" s="211">
        <f t="shared" si="48"/>
        <v>0.9</v>
      </c>
    </row>
    <row r="500" spans="18:20" x14ac:dyDescent="0.2">
      <c r="R500" s="207">
        <f t="shared" si="47"/>
        <v>5.2899999999999308</v>
      </c>
      <c r="S500" s="211">
        <f t="shared" si="48"/>
        <v>0.99400000000000088</v>
      </c>
      <c r="T500" s="211">
        <f t="shared" si="48"/>
        <v>0.9</v>
      </c>
    </row>
    <row r="501" spans="18:20" x14ac:dyDescent="0.2">
      <c r="R501" s="207">
        <f t="shared" si="47"/>
        <v>5.2999999999999305</v>
      </c>
      <c r="S501" s="211">
        <f t="shared" si="48"/>
        <v>0.99411764705882444</v>
      </c>
      <c r="T501" s="211">
        <f t="shared" si="48"/>
        <v>0.9</v>
      </c>
    </row>
    <row r="502" spans="18:20" x14ac:dyDescent="0.2">
      <c r="R502" s="207">
        <f t="shared" si="47"/>
        <v>5.3099999999999303</v>
      </c>
      <c r="S502" s="211">
        <f t="shared" si="48"/>
        <v>0.99423529411764799</v>
      </c>
      <c r="T502" s="211">
        <f t="shared" si="48"/>
        <v>0.9</v>
      </c>
    </row>
    <row r="503" spans="18:20" x14ac:dyDescent="0.2">
      <c r="R503" s="207">
        <f t="shared" si="47"/>
        <v>5.3199999999999301</v>
      </c>
      <c r="S503" s="211">
        <f t="shared" si="48"/>
        <v>0.99435294117647155</v>
      </c>
      <c r="T503" s="211">
        <f t="shared" si="48"/>
        <v>0.9</v>
      </c>
    </row>
    <row r="504" spans="18:20" x14ac:dyDescent="0.2">
      <c r="R504" s="207">
        <f t="shared" si="47"/>
        <v>5.3299999999999299</v>
      </c>
      <c r="S504" s="211">
        <f t="shared" si="48"/>
        <v>0.99447058823529511</v>
      </c>
      <c r="T504" s="211">
        <f t="shared" si="48"/>
        <v>0.9</v>
      </c>
    </row>
    <row r="505" spans="18:20" x14ac:dyDescent="0.2">
      <c r="R505" s="207">
        <f t="shared" si="47"/>
        <v>5.3399999999999297</v>
      </c>
      <c r="S505" s="211">
        <f t="shared" si="48"/>
        <v>0.99458823529411866</v>
      </c>
      <c r="T505" s="211">
        <f t="shared" si="48"/>
        <v>0.9</v>
      </c>
    </row>
    <row r="506" spans="18:20" x14ac:dyDescent="0.2">
      <c r="R506" s="207">
        <f t="shared" si="47"/>
        <v>5.3499999999999295</v>
      </c>
      <c r="S506" s="211">
        <f t="shared" si="48"/>
        <v>0.99470588235294222</v>
      </c>
      <c r="T506" s="211">
        <f t="shared" si="48"/>
        <v>0.9</v>
      </c>
    </row>
    <row r="507" spans="18:20" x14ac:dyDescent="0.2">
      <c r="R507" s="207">
        <f t="shared" si="47"/>
        <v>5.3599999999999293</v>
      </c>
      <c r="S507" s="211">
        <f t="shared" si="48"/>
        <v>0.99482352941176577</v>
      </c>
      <c r="T507" s="211">
        <f t="shared" si="48"/>
        <v>0.9</v>
      </c>
    </row>
    <row r="508" spans="18:20" x14ac:dyDescent="0.2">
      <c r="R508" s="207">
        <f t="shared" si="47"/>
        <v>5.3699999999999291</v>
      </c>
      <c r="S508" s="211">
        <f t="shared" si="48"/>
        <v>0.99494117647058933</v>
      </c>
      <c r="T508" s="211">
        <f t="shared" si="48"/>
        <v>0.9</v>
      </c>
    </row>
    <row r="509" spans="18:20" x14ac:dyDescent="0.2">
      <c r="R509" s="207">
        <f t="shared" si="47"/>
        <v>5.3799999999999288</v>
      </c>
      <c r="S509" s="211">
        <f t="shared" si="48"/>
        <v>0.99505882352941288</v>
      </c>
      <c r="T509" s="211">
        <f t="shared" si="48"/>
        <v>0.9</v>
      </c>
    </row>
    <row r="510" spans="18:20" x14ac:dyDescent="0.2">
      <c r="R510" s="207">
        <f t="shared" si="47"/>
        <v>5.3899999999999286</v>
      </c>
      <c r="S510" s="211">
        <f t="shared" si="48"/>
        <v>0.99517647058823644</v>
      </c>
      <c r="T510" s="211">
        <f t="shared" si="48"/>
        <v>0.9</v>
      </c>
    </row>
    <row r="511" spans="18:20" x14ac:dyDescent="0.2">
      <c r="R511" s="207">
        <f t="shared" si="47"/>
        <v>5.3999999999999284</v>
      </c>
      <c r="S511" s="211">
        <f t="shared" si="48"/>
        <v>0.99529411764705999</v>
      </c>
      <c r="T511" s="211">
        <f t="shared" si="48"/>
        <v>0.9</v>
      </c>
    </row>
    <row r="512" spans="18:20" x14ac:dyDescent="0.2">
      <c r="R512" s="207">
        <f t="shared" si="47"/>
        <v>5.4099999999999282</v>
      </c>
      <c r="S512" s="211">
        <f t="shared" si="48"/>
        <v>0.99541176470588355</v>
      </c>
      <c r="T512" s="211">
        <f t="shared" si="48"/>
        <v>0.9</v>
      </c>
    </row>
    <row r="513" spans="18:20" x14ac:dyDescent="0.2">
      <c r="R513" s="207">
        <f t="shared" si="47"/>
        <v>5.419999999999928</v>
      </c>
      <c r="S513" s="211">
        <f t="shared" si="48"/>
        <v>0.99552941176470711</v>
      </c>
      <c r="T513" s="211">
        <f t="shared" si="48"/>
        <v>0.9</v>
      </c>
    </row>
    <row r="514" spans="18:20" x14ac:dyDescent="0.2">
      <c r="R514" s="207">
        <f t="shared" si="47"/>
        <v>5.4299999999999278</v>
      </c>
      <c r="S514" s="211">
        <f t="shared" si="48"/>
        <v>0.99564705882353066</v>
      </c>
      <c r="T514" s="211">
        <f t="shared" si="48"/>
        <v>0.9</v>
      </c>
    </row>
    <row r="515" spans="18:20" x14ac:dyDescent="0.2">
      <c r="R515" s="207">
        <f t="shared" si="47"/>
        <v>5.4399999999999276</v>
      </c>
      <c r="S515" s="211">
        <f t="shared" ref="S515:T530" si="49">S514+((S$636-S$466)/ROWS($R$467:$R$636))</f>
        <v>0.99576470588235422</v>
      </c>
      <c r="T515" s="211">
        <f t="shared" si="49"/>
        <v>0.9</v>
      </c>
    </row>
    <row r="516" spans="18:20" x14ac:dyDescent="0.2">
      <c r="R516" s="207">
        <f t="shared" si="47"/>
        <v>5.4499999999999273</v>
      </c>
      <c r="S516" s="211">
        <f t="shared" si="49"/>
        <v>0.99588235294117777</v>
      </c>
      <c r="T516" s="211">
        <f t="shared" si="49"/>
        <v>0.9</v>
      </c>
    </row>
    <row r="517" spans="18:20" x14ac:dyDescent="0.2">
      <c r="R517" s="207">
        <f t="shared" si="47"/>
        <v>5.4599999999999271</v>
      </c>
      <c r="S517" s="211">
        <f t="shared" si="49"/>
        <v>0.99600000000000133</v>
      </c>
      <c r="T517" s="211">
        <f t="shared" si="49"/>
        <v>0.9</v>
      </c>
    </row>
    <row r="518" spans="18:20" x14ac:dyDescent="0.2">
      <c r="R518" s="207">
        <f t="shared" si="47"/>
        <v>5.4699999999999269</v>
      </c>
      <c r="S518" s="211">
        <f t="shared" si="49"/>
        <v>0.99611764705882488</v>
      </c>
      <c r="T518" s="211">
        <f t="shared" si="49"/>
        <v>0.9</v>
      </c>
    </row>
    <row r="519" spans="18:20" x14ac:dyDescent="0.2">
      <c r="R519" s="207">
        <f t="shared" si="47"/>
        <v>5.4799999999999267</v>
      </c>
      <c r="S519" s="211">
        <f t="shared" si="49"/>
        <v>0.99623529411764844</v>
      </c>
      <c r="T519" s="211">
        <f t="shared" si="49"/>
        <v>0.9</v>
      </c>
    </row>
    <row r="520" spans="18:20" x14ac:dyDescent="0.2">
      <c r="R520" s="207">
        <f t="shared" si="47"/>
        <v>5.4899999999999265</v>
      </c>
      <c r="S520" s="211">
        <f t="shared" si="49"/>
        <v>0.996352941176472</v>
      </c>
      <c r="T520" s="211">
        <f t="shared" si="49"/>
        <v>0.9</v>
      </c>
    </row>
    <row r="521" spans="18:20" x14ac:dyDescent="0.2">
      <c r="R521" s="207">
        <f t="shared" si="47"/>
        <v>5.4999999999999263</v>
      </c>
      <c r="S521" s="211">
        <f t="shared" si="49"/>
        <v>0.99647058823529555</v>
      </c>
      <c r="T521" s="211">
        <f t="shared" si="49"/>
        <v>0.9</v>
      </c>
    </row>
    <row r="522" spans="18:20" x14ac:dyDescent="0.2">
      <c r="R522" s="207">
        <f t="shared" si="47"/>
        <v>5.5099999999999261</v>
      </c>
      <c r="S522" s="211">
        <f t="shared" si="49"/>
        <v>0.99658823529411911</v>
      </c>
      <c r="T522" s="211">
        <f t="shared" si="49"/>
        <v>0.9</v>
      </c>
    </row>
    <row r="523" spans="18:20" x14ac:dyDescent="0.2">
      <c r="R523" s="207">
        <f t="shared" si="47"/>
        <v>5.5199999999999259</v>
      </c>
      <c r="S523" s="211">
        <f t="shared" si="49"/>
        <v>0.99670588235294266</v>
      </c>
      <c r="T523" s="211">
        <f t="shared" si="49"/>
        <v>0.9</v>
      </c>
    </row>
    <row r="524" spans="18:20" x14ac:dyDescent="0.2">
      <c r="R524" s="207">
        <f t="shared" si="47"/>
        <v>5.5299999999999256</v>
      </c>
      <c r="S524" s="211">
        <f t="shared" si="49"/>
        <v>0.99682352941176622</v>
      </c>
      <c r="T524" s="211">
        <f t="shared" si="49"/>
        <v>0.9</v>
      </c>
    </row>
    <row r="525" spans="18:20" x14ac:dyDescent="0.2">
      <c r="R525" s="207">
        <f t="shared" si="47"/>
        <v>5.5399999999999254</v>
      </c>
      <c r="S525" s="211">
        <f t="shared" si="49"/>
        <v>0.99694117647058977</v>
      </c>
      <c r="T525" s="211">
        <f t="shared" si="49"/>
        <v>0.9</v>
      </c>
    </row>
    <row r="526" spans="18:20" x14ac:dyDescent="0.2">
      <c r="R526" s="207">
        <f t="shared" si="47"/>
        <v>5.5499999999999252</v>
      </c>
      <c r="S526" s="211">
        <f t="shared" si="49"/>
        <v>0.99705882352941333</v>
      </c>
      <c r="T526" s="211">
        <f t="shared" si="49"/>
        <v>0.9</v>
      </c>
    </row>
    <row r="527" spans="18:20" x14ac:dyDescent="0.2">
      <c r="R527" s="207">
        <f t="shared" si="47"/>
        <v>5.559999999999925</v>
      </c>
      <c r="S527" s="211">
        <f t="shared" si="49"/>
        <v>0.99717647058823689</v>
      </c>
      <c r="T527" s="211">
        <f t="shared" si="49"/>
        <v>0.9</v>
      </c>
    </row>
    <row r="528" spans="18:20" x14ac:dyDescent="0.2">
      <c r="R528" s="207">
        <f t="shared" si="47"/>
        <v>5.5699999999999248</v>
      </c>
      <c r="S528" s="211">
        <f t="shared" si="49"/>
        <v>0.99729411764706044</v>
      </c>
      <c r="T528" s="211">
        <f t="shared" si="49"/>
        <v>0.9</v>
      </c>
    </row>
    <row r="529" spans="18:20" x14ac:dyDescent="0.2">
      <c r="R529" s="207">
        <f t="shared" si="47"/>
        <v>5.5799999999999246</v>
      </c>
      <c r="S529" s="211">
        <f t="shared" si="49"/>
        <v>0.997411764705884</v>
      </c>
      <c r="T529" s="211">
        <f t="shared" si="49"/>
        <v>0.9</v>
      </c>
    </row>
    <row r="530" spans="18:20" x14ac:dyDescent="0.2">
      <c r="R530" s="207">
        <f t="shared" si="47"/>
        <v>5.5899999999999244</v>
      </c>
      <c r="S530" s="211">
        <f t="shared" si="49"/>
        <v>0.99752941176470755</v>
      </c>
      <c r="T530" s="211">
        <f t="shared" si="49"/>
        <v>0.9</v>
      </c>
    </row>
    <row r="531" spans="18:20" x14ac:dyDescent="0.2">
      <c r="R531" s="207">
        <f t="shared" si="47"/>
        <v>5.5999999999999241</v>
      </c>
      <c r="S531" s="211">
        <f t="shared" ref="S531:T546" si="50">S530+((S$636-S$466)/ROWS($R$467:$R$636))</f>
        <v>0.99764705882353111</v>
      </c>
      <c r="T531" s="211">
        <f t="shared" si="50"/>
        <v>0.9</v>
      </c>
    </row>
    <row r="532" spans="18:20" x14ac:dyDescent="0.2">
      <c r="R532" s="207">
        <f t="shared" si="47"/>
        <v>5.6099999999999239</v>
      </c>
      <c r="S532" s="211">
        <f t="shared" si="50"/>
        <v>0.99776470588235466</v>
      </c>
      <c r="T532" s="211">
        <f t="shared" si="50"/>
        <v>0.9</v>
      </c>
    </row>
    <row r="533" spans="18:20" x14ac:dyDescent="0.2">
      <c r="R533" s="207">
        <f t="shared" si="47"/>
        <v>5.6199999999999237</v>
      </c>
      <c r="S533" s="211">
        <f t="shared" si="50"/>
        <v>0.99788235294117822</v>
      </c>
      <c r="T533" s="211">
        <f t="shared" si="50"/>
        <v>0.9</v>
      </c>
    </row>
    <row r="534" spans="18:20" x14ac:dyDescent="0.2">
      <c r="R534" s="207">
        <f t="shared" si="47"/>
        <v>5.6299999999999235</v>
      </c>
      <c r="S534" s="211">
        <f t="shared" si="50"/>
        <v>0.99800000000000177</v>
      </c>
      <c r="T534" s="211">
        <f t="shared" si="50"/>
        <v>0.9</v>
      </c>
    </row>
    <row r="535" spans="18:20" x14ac:dyDescent="0.2">
      <c r="R535" s="207">
        <f t="shared" si="47"/>
        <v>5.6399999999999233</v>
      </c>
      <c r="S535" s="211">
        <f t="shared" si="50"/>
        <v>0.99811764705882533</v>
      </c>
      <c r="T535" s="211">
        <f t="shared" si="50"/>
        <v>0.9</v>
      </c>
    </row>
    <row r="536" spans="18:20" x14ac:dyDescent="0.2">
      <c r="R536" s="207">
        <f t="shared" si="47"/>
        <v>5.6499999999999231</v>
      </c>
      <c r="S536" s="211">
        <f t="shared" si="50"/>
        <v>0.99823529411764889</v>
      </c>
      <c r="T536" s="211">
        <f t="shared" si="50"/>
        <v>0.9</v>
      </c>
    </row>
    <row r="537" spans="18:20" x14ac:dyDescent="0.2">
      <c r="R537" s="207">
        <f t="shared" si="47"/>
        <v>5.6599999999999229</v>
      </c>
      <c r="S537" s="211">
        <f t="shared" si="50"/>
        <v>0.99835294117647244</v>
      </c>
      <c r="T537" s="211">
        <f t="shared" si="50"/>
        <v>0.9</v>
      </c>
    </row>
    <row r="538" spans="18:20" x14ac:dyDescent="0.2">
      <c r="R538" s="207">
        <f t="shared" si="47"/>
        <v>5.6699999999999227</v>
      </c>
      <c r="S538" s="211">
        <f t="shared" si="50"/>
        <v>0.998470588235296</v>
      </c>
      <c r="T538" s="211">
        <f t="shared" si="50"/>
        <v>0.9</v>
      </c>
    </row>
    <row r="539" spans="18:20" x14ac:dyDescent="0.2">
      <c r="R539" s="207">
        <f t="shared" si="47"/>
        <v>5.6799999999999224</v>
      </c>
      <c r="S539" s="211">
        <f t="shared" si="50"/>
        <v>0.99858823529411955</v>
      </c>
      <c r="T539" s="211">
        <f t="shared" si="50"/>
        <v>0.9</v>
      </c>
    </row>
    <row r="540" spans="18:20" x14ac:dyDescent="0.2">
      <c r="R540" s="207">
        <f t="shared" si="47"/>
        <v>5.6899999999999222</v>
      </c>
      <c r="S540" s="211">
        <f t="shared" si="50"/>
        <v>0.99870588235294311</v>
      </c>
      <c r="T540" s="211">
        <f t="shared" si="50"/>
        <v>0.9</v>
      </c>
    </row>
    <row r="541" spans="18:20" x14ac:dyDescent="0.2">
      <c r="R541" s="207">
        <f t="shared" si="47"/>
        <v>5.699999999999922</v>
      </c>
      <c r="S541" s="211">
        <f t="shared" si="50"/>
        <v>0.99882352941176666</v>
      </c>
      <c r="T541" s="211">
        <f t="shared" si="50"/>
        <v>0.9</v>
      </c>
    </row>
    <row r="542" spans="18:20" x14ac:dyDescent="0.2">
      <c r="R542" s="207">
        <f t="shared" si="47"/>
        <v>5.7099999999999218</v>
      </c>
      <c r="S542" s="211">
        <f t="shared" si="50"/>
        <v>0.99894117647059022</v>
      </c>
      <c r="T542" s="211">
        <f t="shared" si="50"/>
        <v>0.9</v>
      </c>
    </row>
    <row r="543" spans="18:20" x14ac:dyDescent="0.2">
      <c r="R543" s="207">
        <f t="shared" si="47"/>
        <v>5.7199999999999216</v>
      </c>
      <c r="S543" s="211">
        <f t="shared" si="50"/>
        <v>0.99905882352941378</v>
      </c>
      <c r="T543" s="211">
        <f t="shared" si="50"/>
        <v>0.9</v>
      </c>
    </row>
    <row r="544" spans="18:20" x14ac:dyDescent="0.2">
      <c r="R544" s="207">
        <f t="shared" si="47"/>
        <v>5.7299999999999214</v>
      </c>
      <c r="S544" s="211">
        <f t="shared" si="50"/>
        <v>0.99917647058823733</v>
      </c>
      <c r="T544" s="211">
        <f t="shared" si="50"/>
        <v>0.9</v>
      </c>
    </row>
    <row r="545" spans="18:20" x14ac:dyDescent="0.2">
      <c r="R545" s="207">
        <f t="shared" si="47"/>
        <v>5.7399999999999212</v>
      </c>
      <c r="S545" s="211">
        <f t="shared" si="50"/>
        <v>0.99929411764706089</v>
      </c>
      <c r="T545" s="211">
        <f t="shared" si="50"/>
        <v>0.9</v>
      </c>
    </row>
    <row r="546" spans="18:20" x14ac:dyDescent="0.2">
      <c r="R546" s="207">
        <f t="shared" si="47"/>
        <v>5.749999999999921</v>
      </c>
      <c r="S546" s="211">
        <f t="shared" si="50"/>
        <v>0.99941176470588444</v>
      </c>
      <c r="T546" s="211">
        <f t="shared" si="50"/>
        <v>0.9</v>
      </c>
    </row>
    <row r="547" spans="18:20" x14ac:dyDescent="0.2">
      <c r="R547" s="207">
        <f t="shared" si="47"/>
        <v>5.7599999999999207</v>
      </c>
      <c r="S547" s="211">
        <f t="shared" ref="S547:T562" si="51">S546+((S$636-S$466)/ROWS($R$467:$R$636))</f>
        <v>0.999529411764708</v>
      </c>
      <c r="T547" s="211">
        <f t="shared" si="51"/>
        <v>0.9</v>
      </c>
    </row>
    <row r="548" spans="18:20" x14ac:dyDescent="0.2">
      <c r="R548" s="207">
        <f t="shared" si="47"/>
        <v>5.7699999999999205</v>
      </c>
      <c r="S548" s="211">
        <f t="shared" si="51"/>
        <v>0.99964705882353155</v>
      </c>
      <c r="T548" s="211">
        <f t="shared" si="51"/>
        <v>0.9</v>
      </c>
    </row>
    <row r="549" spans="18:20" x14ac:dyDescent="0.2">
      <c r="R549" s="207">
        <f t="shared" si="47"/>
        <v>5.7799999999999203</v>
      </c>
      <c r="S549" s="211">
        <f t="shared" si="51"/>
        <v>0.99976470588235511</v>
      </c>
      <c r="T549" s="211">
        <f t="shared" si="51"/>
        <v>0.9</v>
      </c>
    </row>
    <row r="550" spans="18:20" x14ac:dyDescent="0.2">
      <c r="R550" s="207">
        <f t="shared" si="47"/>
        <v>5.7899999999999201</v>
      </c>
      <c r="S550" s="211">
        <f t="shared" si="51"/>
        <v>0.99988235294117866</v>
      </c>
      <c r="T550" s="211">
        <f t="shared" si="51"/>
        <v>0.9</v>
      </c>
    </row>
    <row r="551" spans="18:20" x14ac:dyDescent="0.2">
      <c r="R551" s="207">
        <f t="shared" si="47"/>
        <v>5.7999999999999199</v>
      </c>
      <c r="S551" s="211">
        <f t="shared" si="51"/>
        <v>1.0000000000000022</v>
      </c>
      <c r="T551" s="211">
        <f t="shared" si="51"/>
        <v>0.9</v>
      </c>
    </row>
    <row r="552" spans="18:20" x14ac:dyDescent="0.2">
      <c r="R552" s="207">
        <f t="shared" si="47"/>
        <v>5.8099999999999197</v>
      </c>
      <c r="S552" s="211">
        <f t="shared" si="51"/>
        <v>1.0001176470588258</v>
      </c>
      <c r="T552" s="211">
        <f t="shared" si="51"/>
        <v>0.9</v>
      </c>
    </row>
    <row r="553" spans="18:20" x14ac:dyDescent="0.2">
      <c r="R553" s="207">
        <f t="shared" si="47"/>
        <v>5.8199999999999195</v>
      </c>
      <c r="S553" s="211">
        <f t="shared" si="51"/>
        <v>1.0002352941176493</v>
      </c>
      <c r="T553" s="211">
        <f t="shared" si="51"/>
        <v>0.9</v>
      </c>
    </row>
    <row r="554" spans="18:20" x14ac:dyDescent="0.2">
      <c r="R554" s="207">
        <f t="shared" si="47"/>
        <v>5.8299999999999192</v>
      </c>
      <c r="S554" s="211">
        <f t="shared" si="51"/>
        <v>1.0003529411764729</v>
      </c>
      <c r="T554" s="211">
        <f t="shared" si="51"/>
        <v>0.9</v>
      </c>
    </row>
    <row r="555" spans="18:20" x14ac:dyDescent="0.2">
      <c r="R555" s="207">
        <f t="shared" si="47"/>
        <v>5.839999999999919</v>
      </c>
      <c r="S555" s="211">
        <f t="shared" si="51"/>
        <v>1.0004705882352964</v>
      </c>
      <c r="T555" s="211">
        <f t="shared" si="51"/>
        <v>0.9</v>
      </c>
    </row>
    <row r="556" spans="18:20" x14ac:dyDescent="0.2">
      <c r="R556" s="207">
        <f t="shared" si="47"/>
        <v>5.8499999999999188</v>
      </c>
      <c r="S556" s="211">
        <f t="shared" si="51"/>
        <v>1.00058823529412</v>
      </c>
      <c r="T556" s="211">
        <f t="shared" si="51"/>
        <v>0.9</v>
      </c>
    </row>
    <row r="557" spans="18:20" x14ac:dyDescent="0.2">
      <c r="R557" s="207">
        <f t="shared" si="47"/>
        <v>5.8599999999999186</v>
      </c>
      <c r="S557" s="211">
        <f t="shared" si="51"/>
        <v>1.0007058823529436</v>
      </c>
      <c r="T557" s="211">
        <f t="shared" si="51"/>
        <v>0.9</v>
      </c>
    </row>
    <row r="558" spans="18:20" x14ac:dyDescent="0.2">
      <c r="R558" s="207">
        <f t="shared" si="47"/>
        <v>5.8699999999999184</v>
      </c>
      <c r="S558" s="211">
        <f t="shared" si="51"/>
        <v>1.0008235294117671</v>
      </c>
      <c r="T558" s="211">
        <f t="shared" si="51"/>
        <v>0.9</v>
      </c>
    </row>
    <row r="559" spans="18:20" x14ac:dyDescent="0.2">
      <c r="R559" s="207">
        <f t="shared" si="47"/>
        <v>5.8799999999999182</v>
      </c>
      <c r="S559" s="211">
        <f t="shared" si="51"/>
        <v>1.0009411764705907</v>
      </c>
      <c r="T559" s="211">
        <f t="shared" si="51"/>
        <v>0.9</v>
      </c>
    </row>
    <row r="560" spans="18:20" x14ac:dyDescent="0.2">
      <c r="R560" s="207">
        <f t="shared" si="47"/>
        <v>5.889999999999918</v>
      </c>
      <c r="S560" s="211">
        <f t="shared" si="51"/>
        <v>1.0010588235294142</v>
      </c>
      <c r="T560" s="211">
        <f t="shared" si="51"/>
        <v>0.9</v>
      </c>
    </row>
    <row r="561" spans="18:20" x14ac:dyDescent="0.2">
      <c r="R561" s="207">
        <f t="shared" si="47"/>
        <v>5.8999999999999178</v>
      </c>
      <c r="S561" s="211">
        <f t="shared" si="51"/>
        <v>1.0011764705882378</v>
      </c>
      <c r="T561" s="211">
        <f t="shared" si="51"/>
        <v>0.9</v>
      </c>
    </row>
    <row r="562" spans="18:20" x14ac:dyDescent="0.2">
      <c r="R562" s="207">
        <f t="shared" si="47"/>
        <v>5.9099999999999175</v>
      </c>
      <c r="S562" s="211">
        <f t="shared" si="51"/>
        <v>1.0012941176470613</v>
      </c>
      <c r="T562" s="211">
        <f t="shared" si="51"/>
        <v>0.9</v>
      </c>
    </row>
    <row r="563" spans="18:20" x14ac:dyDescent="0.2">
      <c r="R563" s="207">
        <f t="shared" ref="R563:R626" si="52">R562+0.01</f>
        <v>5.9199999999999173</v>
      </c>
      <c r="S563" s="211">
        <f t="shared" ref="S563:T578" si="53">S562+((S$636-S$466)/ROWS($R$467:$R$636))</f>
        <v>1.0014117647058849</v>
      </c>
      <c r="T563" s="211">
        <f t="shared" si="53"/>
        <v>0.9</v>
      </c>
    </row>
    <row r="564" spans="18:20" x14ac:dyDescent="0.2">
      <c r="R564" s="207">
        <f t="shared" si="52"/>
        <v>5.9299999999999171</v>
      </c>
      <c r="S564" s="211">
        <f t="shared" si="53"/>
        <v>1.0015294117647084</v>
      </c>
      <c r="T564" s="211">
        <f t="shared" si="53"/>
        <v>0.9</v>
      </c>
    </row>
    <row r="565" spans="18:20" x14ac:dyDescent="0.2">
      <c r="R565" s="207">
        <f t="shared" si="52"/>
        <v>5.9399999999999169</v>
      </c>
      <c r="S565" s="211">
        <f t="shared" si="53"/>
        <v>1.001647058823532</v>
      </c>
      <c r="T565" s="211">
        <f t="shared" si="53"/>
        <v>0.9</v>
      </c>
    </row>
    <row r="566" spans="18:20" x14ac:dyDescent="0.2">
      <c r="R566" s="207">
        <f t="shared" si="52"/>
        <v>5.9499999999999167</v>
      </c>
      <c r="S566" s="211">
        <f t="shared" si="53"/>
        <v>1.0017647058823556</v>
      </c>
      <c r="T566" s="211">
        <f t="shared" si="53"/>
        <v>0.9</v>
      </c>
    </row>
    <row r="567" spans="18:20" x14ac:dyDescent="0.2">
      <c r="R567" s="207">
        <f t="shared" si="52"/>
        <v>5.9599999999999165</v>
      </c>
      <c r="S567" s="211">
        <f t="shared" si="53"/>
        <v>1.0018823529411791</v>
      </c>
      <c r="T567" s="211">
        <f t="shared" si="53"/>
        <v>0.9</v>
      </c>
    </row>
    <row r="568" spans="18:20" x14ac:dyDescent="0.2">
      <c r="R568" s="207">
        <f t="shared" si="52"/>
        <v>5.9699999999999163</v>
      </c>
      <c r="S568" s="211">
        <f t="shared" si="53"/>
        <v>1.0020000000000027</v>
      </c>
      <c r="T568" s="211">
        <f t="shared" si="53"/>
        <v>0.9</v>
      </c>
    </row>
    <row r="569" spans="18:20" x14ac:dyDescent="0.2">
      <c r="R569" s="207">
        <f t="shared" si="52"/>
        <v>5.979999999999916</v>
      </c>
      <c r="S569" s="211">
        <f t="shared" si="53"/>
        <v>1.0021176470588262</v>
      </c>
      <c r="T569" s="211">
        <f t="shared" si="53"/>
        <v>0.9</v>
      </c>
    </row>
    <row r="570" spans="18:20" x14ac:dyDescent="0.2">
      <c r="R570" s="207">
        <f t="shared" si="52"/>
        <v>5.9899999999999158</v>
      </c>
      <c r="S570" s="211">
        <f t="shared" si="53"/>
        <v>1.0022352941176498</v>
      </c>
      <c r="T570" s="211">
        <f t="shared" si="53"/>
        <v>0.9</v>
      </c>
    </row>
    <row r="571" spans="18:20" x14ac:dyDescent="0.2">
      <c r="R571" s="207">
        <f t="shared" si="52"/>
        <v>5.9999999999999156</v>
      </c>
      <c r="S571" s="211">
        <f t="shared" si="53"/>
        <v>1.0023529411764733</v>
      </c>
      <c r="T571" s="211">
        <f t="shared" si="53"/>
        <v>0.9</v>
      </c>
    </row>
    <row r="572" spans="18:20" x14ac:dyDescent="0.2">
      <c r="R572" s="207">
        <f t="shared" si="52"/>
        <v>6.0099999999999154</v>
      </c>
      <c r="S572" s="211">
        <f t="shared" si="53"/>
        <v>1.0024705882352969</v>
      </c>
      <c r="T572" s="211">
        <f t="shared" si="53"/>
        <v>0.9</v>
      </c>
    </row>
    <row r="573" spans="18:20" x14ac:dyDescent="0.2">
      <c r="R573" s="207">
        <f t="shared" si="52"/>
        <v>6.0199999999999152</v>
      </c>
      <c r="S573" s="211">
        <f t="shared" si="53"/>
        <v>1.0025882352941204</v>
      </c>
      <c r="T573" s="211">
        <f t="shared" si="53"/>
        <v>0.9</v>
      </c>
    </row>
    <row r="574" spans="18:20" x14ac:dyDescent="0.2">
      <c r="R574" s="207">
        <f t="shared" si="52"/>
        <v>6.029999999999915</v>
      </c>
      <c r="S574" s="211">
        <f t="shared" si="53"/>
        <v>1.002705882352944</v>
      </c>
      <c r="T574" s="211">
        <f t="shared" si="53"/>
        <v>0.9</v>
      </c>
    </row>
    <row r="575" spans="18:20" x14ac:dyDescent="0.2">
      <c r="R575" s="207">
        <f t="shared" si="52"/>
        <v>6.0399999999999148</v>
      </c>
      <c r="S575" s="211">
        <f t="shared" si="53"/>
        <v>1.0028235294117676</v>
      </c>
      <c r="T575" s="211">
        <f t="shared" si="53"/>
        <v>0.9</v>
      </c>
    </row>
    <row r="576" spans="18:20" x14ac:dyDescent="0.2">
      <c r="R576" s="207">
        <f t="shared" si="52"/>
        <v>6.0499999999999146</v>
      </c>
      <c r="S576" s="211">
        <f t="shared" si="53"/>
        <v>1.0029411764705911</v>
      </c>
      <c r="T576" s="211">
        <f t="shared" si="53"/>
        <v>0.9</v>
      </c>
    </row>
    <row r="577" spans="18:20" x14ac:dyDescent="0.2">
      <c r="R577" s="207">
        <f t="shared" si="52"/>
        <v>6.0599999999999143</v>
      </c>
      <c r="S577" s="211">
        <f t="shared" si="53"/>
        <v>1.0030588235294147</v>
      </c>
      <c r="T577" s="211">
        <f t="shared" si="53"/>
        <v>0.9</v>
      </c>
    </row>
    <row r="578" spans="18:20" x14ac:dyDescent="0.2">
      <c r="R578" s="207">
        <f t="shared" si="52"/>
        <v>6.0699999999999141</v>
      </c>
      <c r="S578" s="211">
        <f t="shared" si="53"/>
        <v>1.0031764705882382</v>
      </c>
      <c r="T578" s="211">
        <f t="shared" si="53"/>
        <v>0.9</v>
      </c>
    </row>
    <row r="579" spans="18:20" x14ac:dyDescent="0.2">
      <c r="R579" s="207">
        <f t="shared" si="52"/>
        <v>6.0799999999999139</v>
      </c>
      <c r="S579" s="211">
        <f t="shared" ref="S579:T594" si="54">S578+((S$636-S$466)/ROWS($R$467:$R$636))</f>
        <v>1.0032941176470618</v>
      </c>
      <c r="T579" s="211">
        <f t="shared" si="54"/>
        <v>0.9</v>
      </c>
    </row>
    <row r="580" spans="18:20" x14ac:dyDescent="0.2">
      <c r="R580" s="207">
        <f t="shared" si="52"/>
        <v>6.0899999999999137</v>
      </c>
      <c r="S580" s="211">
        <f t="shared" si="54"/>
        <v>1.0034117647058853</v>
      </c>
      <c r="T580" s="211">
        <f t="shared" si="54"/>
        <v>0.9</v>
      </c>
    </row>
    <row r="581" spans="18:20" x14ac:dyDescent="0.2">
      <c r="R581" s="207">
        <f t="shared" si="52"/>
        <v>6.0999999999999135</v>
      </c>
      <c r="S581" s="211">
        <f t="shared" si="54"/>
        <v>1.0035294117647089</v>
      </c>
      <c r="T581" s="211">
        <f t="shared" si="54"/>
        <v>0.9</v>
      </c>
    </row>
    <row r="582" spans="18:20" x14ac:dyDescent="0.2">
      <c r="R582" s="207">
        <f t="shared" si="52"/>
        <v>6.1099999999999133</v>
      </c>
      <c r="S582" s="211">
        <f t="shared" si="54"/>
        <v>1.0036470588235324</v>
      </c>
      <c r="T582" s="211">
        <f t="shared" si="54"/>
        <v>0.9</v>
      </c>
    </row>
    <row r="583" spans="18:20" x14ac:dyDescent="0.2">
      <c r="R583" s="207">
        <f t="shared" si="52"/>
        <v>6.1199999999999131</v>
      </c>
      <c r="S583" s="211">
        <f t="shared" si="54"/>
        <v>1.003764705882356</v>
      </c>
      <c r="T583" s="211">
        <f t="shared" si="54"/>
        <v>0.9</v>
      </c>
    </row>
    <row r="584" spans="18:20" x14ac:dyDescent="0.2">
      <c r="R584" s="207">
        <f t="shared" si="52"/>
        <v>6.1299999999999129</v>
      </c>
      <c r="S584" s="211">
        <f t="shared" si="54"/>
        <v>1.0038823529411796</v>
      </c>
      <c r="T584" s="211">
        <f t="shared" si="54"/>
        <v>0.9</v>
      </c>
    </row>
    <row r="585" spans="18:20" x14ac:dyDescent="0.2">
      <c r="R585" s="207">
        <f t="shared" si="52"/>
        <v>6.1399999999999126</v>
      </c>
      <c r="S585" s="211">
        <f t="shared" si="54"/>
        <v>1.0040000000000031</v>
      </c>
      <c r="T585" s="211">
        <f t="shared" si="54"/>
        <v>0.9</v>
      </c>
    </row>
    <row r="586" spans="18:20" x14ac:dyDescent="0.2">
      <c r="R586" s="207">
        <f t="shared" si="52"/>
        <v>6.1499999999999124</v>
      </c>
      <c r="S586" s="211">
        <f t="shared" si="54"/>
        <v>1.0041176470588267</v>
      </c>
      <c r="T586" s="211">
        <f t="shared" si="54"/>
        <v>0.9</v>
      </c>
    </row>
    <row r="587" spans="18:20" x14ac:dyDescent="0.2">
      <c r="R587" s="207">
        <f t="shared" si="52"/>
        <v>6.1599999999999122</v>
      </c>
      <c r="S587" s="211">
        <f t="shared" si="54"/>
        <v>1.0042352941176502</v>
      </c>
      <c r="T587" s="211">
        <f t="shared" si="54"/>
        <v>0.9</v>
      </c>
    </row>
    <row r="588" spans="18:20" x14ac:dyDescent="0.2">
      <c r="R588" s="207">
        <f t="shared" si="52"/>
        <v>6.169999999999912</v>
      </c>
      <c r="S588" s="211">
        <f t="shared" si="54"/>
        <v>1.0043529411764738</v>
      </c>
      <c r="T588" s="211">
        <f t="shared" si="54"/>
        <v>0.9</v>
      </c>
    </row>
    <row r="589" spans="18:20" x14ac:dyDescent="0.2">
      <c r="R589" s="207">
        <f t="shared" si="52"/>
        <v>6.1799999999999118</v>
      </c>
      <c r="S589" s="211">
        <f t="shared" si="54"/>
        <v>1.0044705882352973</v>
      </c>
      <c r="T589" s="211">
        <f t="shared" si="54"/>
        <v>0.9</v>
      </c>
    </row>
    <row r="590" spans="18:20" x14ac:dyDescent="0.2">
      <c r="R590" s="207">
        <f t="shared" si="52"/>
        <v>6.1899999999999116</v>
      </c>
      <c r="S590" s="211">
        <f t="shared" si="54"/>
        <v>1.0045882352941209</v>
      </c>
      <c r="T590" s="211">
        <f t="shared" si="54"/>
        <v>0.9</v>
      </c>
    </row>
    <row r="591" spans="18:20" x14ac:dyDescent="0.2">
      <c r="R591" s="207">
        <f t="shared" si="52"/>
        <v>6.1999999999999114</v>
      </c>
      <c r="S591" s="211">
        <f t="shared" si="54"/>
        <v>1.0047058823529444</v>
      </c>
      <c r="T591" s="211">
        <f t="shared" si="54"/>
        <v>0.9</v>
      </c>
    </row>
    <row r="592" spans="18:20" x14ac:dyDescent="0.2">
      <c r="R592" s="207">
        <f t="shared" si="52"/>
        <v>6.2099999999999111</v>
      </c>
      <c r="S592" s="211">
        <f t="shared" si="54"/>
        <v>1.004823529411768</v>
      </c>
      <c r="T592" s="211">
        <f t="shared" si="54"/>
        <v>0.9</v>
      </c>
    </row>
    <row r="593" spans="18:20" x14ac:dyDescent="0.2">
      <c r="R593" s="207">
        <f t="shared" si="52"/>
        <v>6.2199999999999109</v>
      </c>
      <c r="S593" s="211">
        <f t="shared" si="54"/>
        <v>1.0049411764705916</v>
      </c>
      <c r="T593" s="211">
        <f t="shared" si="54"/>
        <v>0.9</v>
      </c>
    </row>
    <row r="594" spans="18:20" x14ac:dyDescent="0.2">
      <c r="R594" s="207">
        <f t="shared" si="52"/>
        <v>6.2299999999999107</v>
      </c>
      <c r="S594" s="211">
        <f t="shared" si="54"/>
        <v>1.0050588235294151</v>
      </c>
      <c r="T594" s="211">
        <f t="shared" si="54"/>
        <v>0.9</v>
      </c>
    </row>
    <row r="595" spans="18:20" x14ac:dyDescent="0.2">
      <c r="R595" s="207">
        <f t="shared" si="52"/>
        <v>6.2399999999999105</v>
      </c>
      <c r="S595" s="211">
        <f t="shared" ref="S595:T610" si="55">S594+((S$636-S$466)/ROWS($R$467:$R$636))</f>
        <v>1.0051764705882387</v>
      </c>
      <c r="T595" s="211">
        <f t="shared" si="55"/>
        <v>0.9</v>
      </c>
    </row>
    <row r="596" spans="18:20" x14ac:dyDescent="0.2">
      <c r="R596" s="207">
        <f t="shared" si="52"/>
        <v>6.2499999999999103</v>
      </c>
      <c r="S596" s="211">
        <f t="shared" si="55"/>
        <v>1.0052941176470622</v>
      </c>
      <c r="T596" s="211">
        <f t="shared" si="55"/>
        <v>0.9</v>
      </c>
    </row>
    <row r="597" spans="18:20" x14ac:dyDescent="0.2">
      <c r="R597" s="207">
        <f t="shared" si="52"/>
        <v>6.2599999999999101</v>
      </c>
      <c r="S597" s="211">
        <f t="shared" si="55"/>
        <v>1.0054117647058858</v>
      </c>
      <c r="T597" s="211">
        <f t="shared" si="55"/>
        <v>0.9</v>
      </c>
    </row>
    <row r="598" spans="18:20" x14ac:dyDescent="0.2">
      <c r="R598" s="207">
        <f t="shared" si="52"/>
        <v>6.2699999999999099</v>
      </c>
      <c r="S598" s="211">
        <f t="shared" si="55"/>
        <v>1.0055294117647093</v>
      </c>
      <c r="T598" s="211">
        <f t="shared" si="55"/>
        <v>0.9</v>
      </c>
    </row>
    <row r="599" spans="18:20" x14ac:dyDescent="0.2">
      <c r="R599" s="207">
        <f t="shared" si="52"/>
        <v>6.2799999999999097</v>
      </c>
      <c r="S599" s="211">
        <f t="shared" si="55"/>
        <v>1.0056470588235329</v>
      </c>
      <c r="T599" s="211">
        <f t="shared" si="55"/>
        <v>0.9</v>
      </c>
    </row>
    <row r="600" spans="18:20" x14ac:dyDescent="0.2">
      <c r="R600" s="207">
        <f t="shared" si="52"/>
        <v>6.2899999999999094</v>
      </c>
      <c r="S600" s="211">
        <f t="shared" si="55"/>
        <v>1.0057647058823564</v>
      </c>
      <c r="T600" s="211">
        <f t="shared" si="55"/>
        <v>0.9</v>
      </c>
    </row>
    <row r="601" spans="18:20" x14ac:dyDescent="0.2">
      <c r="R601" s="207">
        <f t="shared" si="52"/>
        <v>6.2999999999999092</v>
      </c>
      <c r="S601" s="211">
        <f t="shared" si="55"/>
        <v>1.00588235294118</v>
      </c>
      <c r="T601" s="211">
        <f t="shared" si="55"/>
        <v>0.9</v>
      </c>
    </row>
    <row r="602" spans="18:20" x14ac:dyDescent="0.2">
      <c r="R602" s="207">
        <f t="shared" si="52"/>
        <v>6.309999999999909</v>
      </c>
      <c r="S602" s="211">
        <f t="shared" si="55"/>
        <v>1.0060000000000036</v>
      </c>
      <c r="T602" s="211">
        <f t="shared" si="55"/>
        <v>0.9</v>
      </c>
    </row>
    <row r="603" spans="18:20" x14ac:dyDescent="0.2">
      <c r="R603" s="207">
        <f t="shared" si="52"/>
        <v>6.3199999999999088</v>
      </c>
      <c r="S603" s="211">
        <f t="shared" si="55"/>
        <v>1.0061176470588271</v>
      </c>
      <c r="T603" s="211">
        <f t="shared" si="55"/>
        <v>0.9</v>
      </c>
    </row>
    <row r="604" spans="18:20" x14ac:dyDescent="0.2">
      <c r="R604" s="207">
        <f t="shared" si="52"/>
        <v>6.3299999999999086</v>
      </c>
      <c r="S604" s="211">
        <f t="shared" si="55"/>
        <v>1.0062352941176507</v>
      </c>
      <c r="T604" s="211">
        <f t="shared" si="55"/>
        <v>0.9</v>
      </c>
    </row>
    <row r="605" spans="18:20" x14ac:dyDescent="0.2">
      <c r="R605" s="207">
        <f t="shared" si="52"/>
        <v>6.3399999999999084</v>
      </c>
      <c r="S605" s="211">
        <f t="shared" si="55"/>
        <v>1.0063529411764742</v>
      </c>
      <c r="T605" s="211">
        <f t="shared" si="55"/>
        <v>0.9</v>
      </c>
    </row>
    <row r="606" spans="18:20" x14ac:dyDescent="0.2">
      <c r="R606" s="207">
        <f t="shared" si="52"/>
        <v>6.3499999999999082</v>
      </c>
      <c r="S606" s="211">
        <f t="shared" si="55"/>
        <v>1.0064705882352978</v>
      </c>
      <c r="T606" s="211">
        <f t="shared" si="55"/>
        <v>0.9</v>
      </c>
    </row>
    <row r="607" spans="18:20" x14ac:dyDescent="0.2">
      <c r="R607" s="207">
        <f t="shared" si="52"/>
        <v>6.3599999999999079</v>
      </c>
      <c r="S607" s="211">
        <f t="shared" si="55"/>
        <v>1.0065882352941213</v>
      </c>
      <c r="T607" s="211">
        <f t="shared" si="55"/>
        <v>0.9</v>
      </c>
    </row>
    <row r="608" spans="18:20" x14ac:dyDescent="0.2">
      <c r="R608" s="207">
        <f t="shared" si="52"/>
        <v>6.3699999999999077</v>
      </c>
      <c r="S608" s="211">
        <f t="shared" si="55"/>
        <v>1.0067058823529449</v>
      </c>
      <c r="T608" s="211">
        <f t="shared" si="55"/>
        <v>0.9</v>
      </c>
    </row>
    <row r="609" spans="18:20" x14ac:dyDescent="0.2">
      <c r="R609" s="207">
        <f t="shared" si="52"/>
        <v>6.3799999999999075</v>
      </c>
      <c r="S609" s="211">
        <f t="shared" si="55"/>
        <v>1.0068235294117684</v>
      </c>
      <c r="T609" s="211">
        <f t="shared" si="55"/>
        <v>0.9</v>
      </c>
    </row>
    <row r="610" spans="18:20" x14ac:dyDescent="0.2">
      <c r="R610" s="207">
        <f t="shared" si="52"/>
        <v>6.3899999999999073</v>
      </c>
      <c r="S610" s="211">
        <f t="shared" si="55"/>
        <v>1.006941176470592</v>
      </c>
      <c r="T610" s="211">
        <f t="shared" si="55"/>
        <v>0.9</v>
      </c>
    </row>
    <row r="611" spans="18:20" x14ac:dyDescent="0.2">
      <c r="R611" s="207">
        <f t="shared" si="52"/>
        <v>6.3999999999999071</v>
      </c>
      <c r="S611" s="211">
        <f t="shared" ref="S611:T626" si="56">S610+((S$636-S$466)/ROWS($R$467:$R$636))</f>
        <v>1.0070588235294156</v>
      </c>
      <c r="T611" s="211">
        <f t="shared" si="56"/>
        <v>0.9</v>
      </c>
    </row>
    <row r="612" spans="18:20" x14ac:dyDescent="0.2">
      <c r="R612" s="207">
        <f t="shared" si="52"/>
        <v>6.4099999999999069</v>
      </c>
      <c r="S612" s="211">
        <f t="shared" si="56"/>
        <v>1.0071764705882391</v>
      </c>
      <c r="T612" s="211">
        <f t="shared" si="56"/>
        <v>0.9</v>
      </c>
    </row>
    <row r="613" spans="18:20" x14ac:dyDescent="0.2">
      <c r="R613" s="207">
        <f t="shared" si="52"/>
        <v>6.4199999999999067</v>
      </c>
      <c r="S613" s="211">
        <f t="shared" si="56"/>
        <v>1.0072941176470627</v>
      </c>
      <c r="T613" s="211">
        <f t="shared" si="56"/>
        <v>0.9</v>
      </c>
    </row>
    <row r="614" spans="18:20" x14ac:dyDescent="0.2">
      <c r="R614" s="207">
        <f t="shared" si="52"/>
        <v>6.4299999999999065</v>
      </c>
      <c r="S614" s="211">
        <f t="shared" si="56"/>
        <v>1.0074117647058862</v>
      </c>
      <c r="T614" s="211">
        <f t="shared" si="56"/>
        <v>0.9</v>
      </c>
    </row>
    <row r="615" spans="18:20" x14ac:dyDescent="0.2">
      <c r="R615" s="207">
        <f t="shared" si="52"/>
        <v>6.4399999999999062</v>
      </c>
      <c r="S615" s="211">
        <f t="shared" si="56"/>
        <v>1.0075294117647098</v>
      </c>
      <c r="T615" s="211">
        <f t="shared" si="56"/>
        <v>0.9</v>
      </c>
    </row>
    <row r="616" spans="18:20" x14ac:dyDescent="0.2">
      <c r="R616" s="207">
        <f t="shared" si="52"/>
        <v>6.449999999999906</v>
      </c>
      <c r="S616" s="211">
        <f t="shared" si="56"/>
        <v>1.0076470588235333</v>
      </c>
      <c r="T616" s="211">
        <f t="shared" si="56"/>
        <v>0.9</v>
      </c>
    </row>
    <row r="617" spans="18:20" x14ac:dyDescent="0.2">
      <c r="R617" s="207">
        <f t="shared" si="52"/>
        <v>6.4599999999999058</v>
      </c>
      <c r="S617" s="211">
        <f t="shared" si="56"/>
        <v>1.0077647058823569</v>
      </c>
      <c r="T617" s="211">
        <f t="shared" si="56"/>
        <v>0.9</v>
      </c>
    </row>
    <row r="618" spans="18:20" x14ac:dyDescent="0.2">
      <c r="R618" s="207">
        <f t="shared" si="52"/>
        <v>6.4699999999999056</v>
      </c>
      <c r="S618" s="211">
        <f t="shared" si="56"/>
        <v>1.0078823529411804</v>
      </c>
      <c r="T618" s="211">
        <f t="shared" si="56"/>
        <v>0.9</v>
      </c>
    </row>
    <row r="619" spans="18:20" x14ac:dyDescent="0.2">
      <c r="R619" s="207">
        <f t="shared" si="52"/>
        <v>6.4799999999999054</v>
      </c>
      <c r="S619" s="211">
        <f t="shared" si="56"/>
        <v>1.008000000000004</v>
      </c>
      <c r="T619" s="211">
        <f t="shared" si="56"/>
        <v>0.9</v>
      </c>
    </row>
    <row r="620" spans="18:20" x14ac:dyDescent="0.2">
      <c r="R620" s="207">
        <f t="shared" si="52"/>
        <v>6.4899999999999052</v>
      </c>
      <c r="S620" s="211">
        <f t="shared" si="56"/>
        <v>1.0081176470588276</v>
      </c>
      <c r="T620" s="211">
        <f t="shared" si="56"/>
        <v>0.9</v>
      </c>
    </row>
    <row r="621" spans="18:20" x14ac:dyDescent="0.2">
      <c r="R621" s="207">
        <f t="shared" si="52"/>
        <v>6.499999999999905</v>
      </c>
      <c r="S621" s="211">
        <f t="shared" si="56"/>
        <v>1.0082352941176511</v>
      </c>
      <c r="T621" s="211">
        <f t="shared" si="56"/>
        <v>0.9</v>
      </c>
    </row>
    <row r="622" spans="18:20" x14ac:dyDescent="0.2">
      <c r="R622" s="207">
        <f t="shared" si="52"/>
        <v>6.5099999999999048</v>
      </c>
      <c r="S622" s="211">
        <f t="shared" si="56"/>
        <v>1.0083529411764747</v>
      </c>
      <c r="T622" s="211">
        <f t="shared" si="56"/>
        <v>0.9</v>
      </c>
    </row>
    <row r="623" spans="18:20" x14ac:dyDescent="0.2">
      <c r="R623" s="207">
        <f t="shared" si="52"/>
        <v>6.5199999999999045</v>
      </c>
      <c r="S623" s="211">
        <f t="shared" si="56"/>
        <v>1.0084705882352982</v>
      </c>
      <c r="T623" s="211">
        <f t="shared" si="56"/>
        <v>0.9</v>
      </c>
    </row>
    <row r="624" spans="18:20" x14ac:dyDescent="0.2">
      <c r="R624" s="207">
        <f t="shared" si="52"/>
        <v>6.5299999999999043</v>
      </c>
      <c r="S624" s="211">
        <f t="shared" si="56"/>
        <v>1.0085882352941218</v>
      </c>
      <c r="T624" s="211">
        <f t="shared" si="56"/>
        <v>0.9</v>
      </c>
    </row>
    <row r="625" spans="18:20" x14ac:dyDescent="0.2">
      <c r="R625" s="207">
        <f t="shared" si="52"/>
        <v>6.5399999999999041</v>
      </c>
      <c r="S625" s="211">
        <f t="shared" si="56"/>
        <v>1.0087058823529453</v>
      </c>
      <c r="T625" s="211">
        <f t="shared" si="56"/>
        <v>0.9</v>
      </c>
    </row>
    <row r="626" spans="18:20" x14ac:dyDescent="0.2">
      <c r="R626" s="207">
        <f t="shared" si="52"/>
        <v>6.5499999999999039</v>
      </c>
      <c r="S626" s="211">
        <f t="shared" si="56"/>
        <v>1.0088235294117689</v>
      </c>
      <c r="T626" s="211">
        <f t="shared" si="56"/>
        <v>0.9</v>
      </c>
    </row>
    <row r="627" spans="18:20" x14ac:dyDescent="0.2">
      <c r="R627" s="207">
        <f t="shared" ref="R627:R636" si="57">R626+0.01</f>
        <v>6.5599999999999037</v>
      </c>
      <c r="S627" s="211">
        <f t="shared" ref="S627:T635" si="58">S626+((S$636-S$466)/ROWS($R$467:$R$636))</f>
        <v>1.0089411764705924</v>
      </c>
      <c r="T627" s="211">
        <f t="shared" si="58"/>
        <v>0.9</v>
      </c>
    </row>
    <row r="628" spans="18:20" x14ac:dyDescent="0.2">
      <c r="R628" s="207">
        <f t="shared" si="57"/>
        <v>6.5699999999999035</v>
      </c>
      <c r="S628" s="211">
        <f t="shared" si="58"/>
        <v>1.009058823529416</v>
      </c>
      <c r="T628" s="211">
        <f t="shared" si="58"/>
        <v>0.9</v>
      </c>
    </row>
    <row r="629" spans="18:20" x14ac:dyDescent="0.2">
      <c r="R629" s="207">
        <f t="shared" si="57"/>
        <v>6.5799999999999033</v>
      </c>
      <c r="S629" s="211">
        <f t="shared" si="58"/>
        <v>1.0091764705882396</v>
      </c>
      <c r="T629" s="211">
        <f t="shared" si="58"/>
        <v>0.9</v>
      </c>
    </row>
    <row r="630" spans="18:20" x14ac:dyDescent="0.2">
      <c r="R630" s="207">
        <f t="shared" si="57"/>
        <v>6.589999999999903</v>
      </c>
      <c r="S630" s="211">
        <f t="shared" si="58"/>
        <v>1.0092941176470631</v>
      </c>
      <c r="T630" s="211">
        <f t="shared" si="58"/>
        <v>0.9</v>
      </c>
    </row>
    <row r="631" spans="18:20" x14ac:dyDescent="0.2">
      <c r="R631" s="207">
        <f t="shared" si="57"/>
        <v>6.5999999999999028</v>
      </c>
      <c r="S631" s="211">
        <f t="shared" si="58"/>
        <v>1.0094117647058867</v>
      </c>
      <c r="T631" s="211">
        <f t="shared" si="58"/>
        <v>0.9</v>
      </c>
    </row>
    <row r="632" spans="18:20" x14ac:dyDescent="0.2">
      <c r="R632" s="207">
        <f t="shared" si="57"/>
        <v>6.6099999999999026</v>
      </c>
      <c r="S632" s="211">
        <f t="shared" si="58"/>
        <v>1.0095294117647102</v>
      </c>
      <c r="T632" s="211">
        <f t="shared" si="58"/>
        <v>0.9</v>
      </c>
    </row>
    <row r="633" spans="18:20" x14ac:dyDescent="0.2">
      <c r="R633" s="207">
        <f t="shared" si="57"/>
        <v>6.6199999999999024</v>
      </c>
      <c r="S633" s="211">
        <f t="shared" si="58"/>
        <v>1.0096470588235338</v>
      </c>
      <c r="T633" s="211">
        <f t="shared" si="58"/>
        <v>0.9</v>
      </c>
    </row>
    <row r="634" spans="18:20" x14ac:dyDescent="0.2">
      <c r="R634" s="207">
        <f t="shared" si="57"/>
        <v>6.6299999999999022</v>
      </c>
      <c r="S634" s="211">
        <f t="shared" si="58"/>
        <v>1.0097647058823573</v>
      </c>
      <c r="T634" s="211">
        <f t="shared" si="58"/>
        <v>0.9</v>
      </c>
    </row>
    <row r="635" spans="18:20" x14ac:dyDescent="0.2">
      <c r="R635" s="207">
        <f t="shared" si="57"/>
        <v>6.639999999999902</v>
      </c>
      <c r="S635" s="211">
        <f t="shared" si="58"/>
        <v>1.0098823529411809</v>
      </c>
      <c r="T635" s="211">
        <f t="shared" si="58"/>
        <v>0.9</v>
      </c>
    </row>
    <row r="636" spans="18:20" x14ac:dyDescent="0.2">
      <c r="R636" s="207">
        <f t="shared" si="57"/>
        <v>6.6499999999999018</v>
      </c>
      <c r="S636" s="209">
        <f>G19</f>
        <v>1.01</v>
      </c>
      <c r="T636" s="209">
        <f>I19</f>
        <v>0.9</v>
      </c>
    </row>
  </sheetData>
  <mergeCells count="9">
    <mergeCell ref="K13:L13"/>
    <mergeCell ref="N1:O1"/>
    <mergeCell ref="R1:S1"/>
    <mergeCell ref="B2:C2"/>
    <mergeCell ref="B8:E8"/>
    <mergeCell ref="G8:H8"/>
    <mergeCell ref="B9:C9"/>
    <mergeCell ref="D9:E9"/>
    <mergeCell ref="B13:J1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B888"/>
  <sheetViews>
    <sheetView workbookViewId="0">
      <selection activeCell="B3" sqref="B3"/>
    </sheetView>
  </sheetViews>
  <sheetFormatPr baseColWidth="10" defaultRowHeight="12.75" x14ac:dyDescent="0.2"/>
  <cols>
    <col min="1" max="1" width="42.140625" bestFit="1" customWidth="1"/>
    <col min="2" max="2" width="15.28515625" bestFit="1" customWidth="1"/>
  </cols>
  <sheetData>
    <row r="1" spans="1:2" x14ac:dyDescent="0.2">
      <c r="A1" s="223" t="s">
        <v>151</v>
      </c>
      <c r="B1">
        <f>Info!C3</f>
        <v>0</v>
      </c>
    </row>
    <row r="2" spans="1:2" x14ac:dyDescent="0.2">
      <c r="A2" s="223" t="s">
        <v>152</v>
      </c>
      <c r="B2">
        <f>Info!C4</f>
        <v>0</v>
      </c>
    </row>
    <row r="3" spans="1:2" x14ac:dyDescent="0.2">
      <c r="A3" s="223" t="s">
        <v>153</v>
      </c>
      <c r="B3">
        <f>Info!C5</f>
        <v>0</v>
      </c>
    </row>
    <row r="4" spans="1:2" x14ac:dyDescent="0.2">
      <c r="A4" s="223" t="s">
        <v>154</v>
      </c>
      <c r="B4">
        <f>Info!C6</f>
        <v>0</v>
      </c>
    </row>
    <row r="5" spans="1:2" x14ac:dyDescent="0.2">
      <c r="A5" s="223" t="s">
        <v>902</v>
      </c>
      <c r="B5">
        <f>Info!C7</f>
        <v>0</v>
      </c>
    </row>
    <row r="6" spans="1:2" x14ac:dyDescent="0.2">
      <c r="A6" s="223" t="s">
        <v>901</v>
      </c>
      <c r="B6">
        <f>Info!C8</f>
        <v>0</v>
      </c>
    </row>
    <row r="7" spans="1:2" x14ac:dyDescent="0.2">
      <c r="A7" s="223" t="s">
        <v>155</v>
      </c>
      <c r="B7">
        <f>Info!C9</f>
        <v>0</v>
      </c>
    </row>
    <row r="8" spans="1:2" x14ac:dyDescent="0.2">
      <c r="A8" s="223" t="s">
        <v>156</v>
      </c>
      <c r="B8">
        <f>Info!C10</f>
        <v>0</v>
      </c>
    </row>
    <row r="9" spans="1:2" x14ac:dyDescent="0.2">
      <c r="A9" s="223" t="s">
        <v>929</v>
      </c>
      <c r="B9">
        <f>Info!C11</f>
        <v>0</v>
      </c>
    </row>
    <row r="10" spans="1:2" x14ac:dyDescent="0.2">
      <c r="A10" s="223" t="s">
        <v>558</v>
      </c>
      <c r="B10" s="224">
        <f>Bildekvalitet!A19</f>
        <v>0</v>
      </c>
    </row>
    <row r="11" spans="1:2" x14ac:dyDescent="0.2">
      <c r="A11" s="223" t="s">
        <v>559</v>
      </c>
      <c r="B11" s="224">
        <f>Bildekvalitet!B19</f>
        <v>0</v>
      </c>
    </row>
    <row r="12" spans="1:2" x14ac:dyDescent="0.2">
      <c r="A12" s="223" t="s">
        <v>560</v>
      </c>
      <c r="B12" s="224">
        <f>Bildekvalitet!C19</f>
        <v>0</v>
      </c>
    </row>
    <row r="13" spans="1:2" x14ac:dyDescent="0.2">
      <c r="A13" s="223" t="s">
        <v>1037</v>
      </c>
      <c r="B13" s="224">
        <f>Bildekvalitet!E10</f>
        <v>0</v>
      </c>
    </row>
    <row r="14" spans="1:2" x14ac:dyDescent="0.2">
      <c r="A14" s="223" t="s">
        <v>562</v>
      </c>
      <c r="B14" t="str">
        <f>Bildekvalitet!D19</f>
        <v/>
      </c>
    </row>
    <row r="15" spans="1:2" x14ac:dyDescent="0.2">
      <c r="A15" s="223" t="s">
        <v>563</v>
      </c>
      <c r="B15" t="str">
        <f>Bildekvalitet!E19</f>
        <v/>
      </c>
    </row>
    <row r="16" spans="1:2" x14ac:dyDescent="0.2">
      <c r="A16" s="223" t="s">
        <v>564</v>
      </c>
      <c r="B16" t="str">
        <f>Bildekvalitet!F19</f>
        <v/>
      </c>
    </row>
    <row r="17" spans="1:2" x14ac:dyDescent="0.2">
      <c r="A17" s="223" t="s">
        <v>565</v>
      </c>
      <c r="B17" t="str">
        <f>Bildekvalitet!G19</f>
        <v/>
      </c>
    </row>
    <row r="18" spans="1:2" x14ac:dyDescent="0.2">
      <c r="A18" s="223" t="s">
        <v>566</v>
      </c>
      <c r="B18" t="str">
        <f>Bildekvalitet!H19</f>
        <v/>
      </c>
    </row>
    <row r="19" spans="1:2" x14ac:dyDescent="0.2">
      <c r="A19" s="223" t="s">
        <v>567</v>
      </c>
      <c r="B19" t="str">
        <f>Bildekvalitet!I19</f>
        <v/>
      </c>
    </row>
    <row r="20" spans="1:2" x14ac:dyDescent="0.2">
      <c r="A20" s="223" t="s">
        <v>568</v>
      </c>
      <c r="B20" t="str">
        <f>Bildekvalitet!J19</f>
        <v/>
      </c>
    </row>
    <row r="21" spans="1:2" x14ac:dyDescent="0.2">
      <c r="A21" s="223" t="s">
        <v>569</v>
      </c>
      <c r="B21" t="str">
        <f>Bildekvalitet!K19</f>
        <v/>
      </c>
    </row>
    <row r="22" spans="1:2" x14ac:dyDescent="0.2">
      <c r="A22" s="223" t="s">
        <v>570</v>
      </c>
      <c r="B22" s="224">
        <f>Bildekvalitet!A20</f>
        <v>0</v>
      </c>
    </row>
    <row r="23" spans="1:2" x14ac:dyDescent="0.2">
      <c r="A23" s="223" t="s">
        <v>571</v>
      </c>
      <c r="B23" s="224">
        <f>Bildekvalitet!B20</f>
        <v>0</v>
      </c>
    </row>
    <row r="24" spans="1:2" x14ac:dyDescent="0.2">
      <c r="A24" s="223" t="s">
        <v>572</v>
      </c>
      <c r="B24" s="224">
        <f>Bildekvalitet!C20</f>
        <v>0</v>
      </c>
    </row>
    <row r="25" spans="1:2" x14ac:dyDescent="0.2">
      <c r="A25" s="223" t="s">
        <v>573</v>
      </c>
      <c r="B25" t="str">
        <f>Bildekvalitet!D20</f>
        <v/>
      </c>
    </row>
    <row r="26" spans="1:2" x14ac:dyDescent="0.2">
      <c r="A26" s="223" t="s">
        <v>574</v>
      </c>
      <c r="B26" t="str">
        <f>Bildekvalitet!E20</f>
        <v/>
      </c>
    </row>
    <row r="27" spans="1:2" x14ac:dyDescent="0.2">
      <c r="A27" s="223" t="s">
        <v>575</v>
      </c>
      <c r="B27" t="str">
        <f>Bildekvalitet!F20</f>
        <v/>
      </c>
    </row>
    <row r="28" spans="1:2" x14ac:dyDescent="0.2">
      <c r="A28" s="223" t="s">
        <v>576</v>
      </c>
      <c r="B28" t="str">
        <f>Bildekvalitet!G20</f>
        <v/>
      </c>
    </row>
    <row r="29" spans="1:2" x14ac:dyDescent="0.2">
      <c r="A29" s="223" t="s">
        <v>577</v>
      </c>
      <c r="B29" t="str">
        <f>Bildekvalitet!H20</f>
        <v/>
      </c>
    </row>
    <row r="30" spans="1:2" x14ac:dyDescent="0.2">
      <c r="A30" s="223" t="s">
        <v>578</v>
      </c>
      <c r="B30" t="str">
        <f>Bildekvalitet!I20</f>
        <v/>
      </c>
    </row>
    <row r="31" spans="1:2" x14ac:dyDescent="0.2">
      <c r="A31" s="223" t="s">
        <v>579</v>
      </c>
      <c r="B31" t="str">
        <f>Bildekvalitet!J20</f>
        <v/>
      </c>
    </row>
    <row r="32" spans="1:2" x14ac:dyDescent="0.2">
      <c r="A32" s="223" t="s">
        <v>580</v>
      </c>
      <c r="B32" t="str">
        <f>Bildekvalitet!K20</f>
        <v/>
      </c>
    </row>
    <row r="33" spans="1:2" x14ac:dyDescent="0.2">
      <c r="A33" s="223" t="s">
        <v>581</v>
      </c>
      <c r="B33" s="224">
        <f>Bildekvalitet!A21</f>
        <v>0</v>
      </c>
    </row>
    <row r="34" spans="1:2" x14ac:dyDescent="0.2">
      <c r="A34" s="223" t="s">
        <v>582</v>
      </c>
      <c r="B34" s="224">
        <f>Bildekvalitet!B21</f>
        <v>0</v>
      </c>
    </row>
    <row r="35" spans="1:2" x14ac:dyDescent="0.2">
      <c r="A35" s="223" t="s">
        <v>583</v>
      </c>
      <c r="B35" s="224">
        <f>Bildekvalitet!C21</f>
        <v>0</v>
      </c>
    </row>
    <row r="36" spans="1:2" x14ac:dyDescent="0.2">
      <c r="A36" s="223" t="s">
        <v>584</v>
      </c>
      <c r="B36" t="str">
        <f>Bildekvalitet!D21</f>
        <v/>
      </c>
    </row>
    <row r="37" spans="1:2" x14ac:dyDescent="0.2">
      <c r="A37" s="223" t="s">
        <v>585</v>
      </c>
      <c r="B37" t="str">
        <f>Bildekvalitet!E21</f>
        <v/>
      </c>
    </row>
    <row r="38" spans="1:2" x14ac:dyDescent="0.2">
      <c r="A38" s="223" t="s">
        <v>586</v>
      </c>
      <c r="B38" t="str">
        <f>Bildekvalitet!F21</f>
        <v/>
      </c>
    </row>
    <row r="39" spans="1:2" x14ac:dyDescent="0.2">
      <c r="A39" s="223" t="s">
        <v>587</v>
      </c>
      <c r="B39" t="str">
        <f>Bildekvalitet!G21</f>
        <v/>
      </c>
    </row>
    <row r="40" spans="1:2" x14ac:dyDescent="0.2">
      <c r="A40" s="223" t="s">
        <v>588</v>
      </c>
      <c r="B40" t="str">
        <f>Bildekvalitet!H21</f>
        <v/>
      </c>
    </row>
    <row r="41" spans="1:2" x14ac:dyDescent="0.2">
      <c r="A41" s="223" t="s">
        <v>589</v>
      </c>
      <c r="B41" t="str">
        <f>Bildekvalitet!I21</f>
        <v/>
      </c>
    </row>
    <row r="42" spans="1:2" x14ac:dyDescent="0.2">
      <c r="A42" s="223" t="s">
        <v>590</v>
      </c>
      <c r="B42" t="str">
        <f>Bildekvalitet!J21</f>
        <v/>
      </c>
    </row>
    <row r="43" spans="1:2" x14ac:dyDescent="0.2">
      <c r="A43" s="223" t="s">
        <v>591</v>
      </c>
      <c r="B43" t="str">
        <f>Bildekvalitet!K21</f>
        <v/>
      </c>
    </row>
    <row r="44" spans="1:2" x14ac:dyDescent="0.2">
      <c r="A44" s="223" t="s">
        <v>592</v>
      </c>
      <c r="B44" s="224">
        <f>Bildekvalitet!A22</f>
        <v>0</v>
      </c>
    </row>
    <row r="45" spans="1:2" x14ac:dyDescent="0.2">
      <c r="A45" s="223" t="s">
        <v>593</v>
      </c>
      <c r="B45" s="224">
        <f>Bildekvalitet!B22</f>
        <v>0</v>
      </c>
    </row>
    <row r="46" spans="1:2" x14ac:dyDescent="0.2">
      <c r="A46" s="223" t="s">
        <v>594</v>
      </c>
      <c r="B46" s="224">
        <f>Bildekvalitet!C22</f>
        <v>0</v>
      </c>
    </row>
    <row r="47" spans="1:2" x14ac:dyDescent="0.2">
      <c r="A47" s="223" t="s">
        <v>595</v>
      </c>
      <c r="B47" t="str">
        <f>Bildekvalitet!D22</f>
        <v/>
      </c>
    </row>
    <row r="48" spans="1:2" x14ac:dyDescent="0.2">
      <c r="A48" s="223" t="s">
        <v>596</v>
      </c>
      <c r="B48" t="str">
        <f>Bildekvalitet!E22</f>
        <v/>
      </c>
    </row>
    <row r="49" spans="1:2" x14ac:dyDescent="0.2">
      <c r="A49" s="223" t="s">
        <v>597</v>
      </c>
      <c r="B49" t="str">
        <f>Bildekvalitet!F22</f>
        <v/>
      </c>
    </row>
    <row r="50" spans="1:2" x14ac:dyDescent="0.2">
      <c r="A50" s="223" t="s">
        <v>598</v>
      </c>
      <c r="B50" t="str">
        <f>Bildekvalitet!G22</f>
        <v/>
      </c>
    </row>
    <row r="51" spans="1:2" x14ac:dyDescent="0.2">
      <c r="A51" s="223" t="s">
        <v>599</v>
      </c>
      <c r="B51" t="str">
        <f>Bildekvalitet!H22</f>
        <v/>
      </c>
    </row>
    <row r="52" spans="1:2" x14ac:dyDescent="0.2">
      <c r="A52" s="223" t="s">
        <v>600</v>
      </c>
      <c r="B52" t="str">
        <f>Bildekvalitet!I22</f>
        <v/>
      </c>
    </row>
    <row r="53" spans="1:2" x14ac:dyDescent="0.2">
      <c r="A53" s="223" t="s">
        <v>601</v>
      </c>
      <c r="B53" t="str">
        <f>Bildekvalitet!J22</f>
        <v/>
      </c>
    </row>
    <row r="54" spans="1:2" x14ac:dyDescent="0.2">
      <c r="A54" s="223" t="s">
        <v>602</v>
      </c>
      <c r="B54" t="str">
        <f>Bildekvalitet!K22</f>
        <v/>
      </c>
    </row>
    <row r="55" spans="1:2" x14ac:dyDescent="0.2">
      <c r="A55" s="223" t="s">
        <v>603</v>
      </c>
      <c r="B55" s="224">
        <f>Bildekvalitet!A23</f>
        <v>0</v>
      </c>
    </row>
    <row r="56" spans="1:2" x14ac:dyDescent="0.2">
      <c r="A56" s="223" t="s">
        <v>604</v>
      </c>
      <c r="B56" s="224">
        <f>Bildekvalitet!B23</f>
        <v>0</v>
      </c>
    </row>
    <row r="57" spans="1:2" x14ac:dyDescent="0.2">
      <c r="A57" s="223" t="s">
        <v>605</v>
      </c>
      <c r="B57" s="224">
        <f>Bildekvalitet!C23</f>
        <v>0</v>
      </c>
    </row>
    <row r="58" spans="1:2" x14ac:dyDescent="0.2">
      <c r="A58" s="223" t="s">
        <v>606</v>
      </c>
      <c r="B58" t="str">
        <f>Bildekvalitet!D23</f>
        <v/>
      </c>
    </row>
    <row r="59" spans="1:2" x14ac:dyDescent="0.2">
      <c r="A59" s="223" t="s">
        <v>607</v>
      </c>
      <c r="B59" t="str">
        <f>Bildekvalitet!E23</f>
        <v/>
      </c>
    </row>
    <row r="60" spans="1:2" x14ac:dyDescent="0.2">
      <c r="A60" s="223" t="s">
        <v>608</v>
      </c>
      <c r="B60" t="str">
        <f>Bildekvalitet!F23</f>
        <v/>
      </c>
    </row>
    <row r="61" spans="1:2" x14ac:dyDescent="0.2">
      <c r="A61" s="223" t="s">
        <v>609</v>
      </c>
      <c r="B61" t="str">
        <f>Bildekvalitet!G23</f>
        <v/>
      </c>
    </row>
    <row r="62" spans="1:2" x14ac:dyDescent="0.2">
      <c r="A62" s="223" t="s">
        <v>610</v>
      </c>
      <c r="B62" t="str">
        <f>Bildekvalitet!H23</f>
        <v/>
      </c>
    </row>
    <row r="63" spans="1:2" x14ac:dyDescent="0.2">
      <c r="A63" s="223" t="s">
        <v>611</v>
      </c>
      <c r="B63" t="str">
        <f>Bildekvalitet!I23</f>
        <v/>
      </c>
    </row>
    <row r="64" spans="1:2" x14ac:dyDescent="0.2">
      <c r="A64" s="223" t="s">
        <v>561</v>
      </c>
      <c r="B64" t="str">
        <f>Bildekvalitet!J23</f>
        <v/>
      </c>
    </row>
    <row r="65" spans="1:2" x14ac:dyDescent="0.2">
      <c r="A65" s="223" t="s">
        <v>612</v>
      </c>
      <c r="B65" t="str">
        <f>Bildekvalitet!K23</f>
        <v/>
      </c>
    </row>
    <row r="66" spans="1:2" x14ac:dyDescent="0.2">
      <c r="A66" s="223" t="s">
        <v>613</v>
      </c>
      <c r="B66" s="224">
        <f>Bildekvalitet!A24</f>
        <v>0</v>
      </c>
    </row>
    <row r="67" spans="1:2" x14ac:dyDescent="0.2">
      <c r="A67" s="223" t="s">
        <v>614</v>
      </c>
      <c r="B67" s="224">
        <f>Bildekvalitet!B24</f>
        <v>0</v>
      </c>
    </row>
    <row r="68" spans="1:2" x14ac:dyDescent="0.2">
      <c r="A68" s="223" t="s">
        <v>615</v>
      </c>
      <c r="B68" s="224">
        <f>Bildekvalitet!C24</f>
        <v>0</v>
      </c>
    </row>
    <row r="69" spans="1:2" x14ac:dyDescent="0.2">
      <c r="A69" s="223" t="s">
        <v>616</v>
      </c>
      <c r="B69" t="str">
        <f>Bildekvalitet!D24</f>
        <v/>
      </c>
    </row>
    <row r="70" spans="1:2" x14ac:dyDescent="0.2">
      <c r="A70" s="223" t="s">
        <v>617</v>
      </c>
      <c r="B70" t="str">
        <f>Bildekvalitet!E24</f>
        <v/>
      </c>
    </row>
    <row r="71" spans="1:2" x14ac:dyDescent="0.2">
      <c r="A71" s="223" t="s">
        <v>618</v>
      </c>
      <c r="B71" t="str">
        <f>Bildekvalitet!F24</f>
        <v/>
      </c>
    </row>
    <row r="72" spans="1:2" x14ac:dyDescent="0.2">
      <c r="A72" s="223" t="s">
        <v>619</v>
      </c>
      <c r="B72" t="str">
        <f>Bildekvalitet!G24</f>
        <v/>
      </c>
    </row>
    <row r="73" spans="1:2" x14ac:dyDescent="0.2">
      <c r="A73" s="223" t="s">
        <v>620</v>
      </c>
      <c r="B73" t="str">
        <f>Bildekvalitet!H24</f>
        <v/>
      </c>
    </row>
    <row r="74" spans="1:2" x14ac:dyDescent="0.2">
      <c r="A74" s="223" t="s">
        <v>621</v>
      </c>
      <c r="B74" t="str">
        <f>Bildekvalitet!I24</f>
        <v/>
      </c>
    </row>
    <row r="75" spans="1:2" x14ac:dyDescent="0.2">
      <c r="A75" s="223" t="s">
        <v>622</v>
      </c>
      <c r="B75" t="str">
        <f>Bildekvalitet!J24</f>
        <v/>
      </c>
    </row>
    <row r="76" spans="1:2" x14ac:dyDescent="0.2">
      <c r="A76" s="223" t="s">
        <v>623</v>
      </c>
      <c r="B76" t="str">
        <f>Bildekvalitet!K24</f>
        <v/>
      </c>
    </row>
    <row r="77" spans="1:2" x14ac:dyDescent="0.2">
      <c r="A77" s="223" t="s">
        <v>624</v>
      </c>
      <c r="B77" s="225">
        <f>Bildekvalitet!F16</f>
        <v>0</v>
      </c>
    </row>
    <row r="78" spans="1:2" x14ac:dyDescent="0.2">
      <c r="A78" s="223" t="s">
        <v>625</v>
      </c>
      <c r="B78" s="225">
        <f>Bildekvalitet!J16</f>
        <v>0</v>
      </c>
    </row>
    <row r="79" spans="1:2" x14ac:dyDescent="0.2">
      <c r="A79" s="223" t="s">
        <v>157</v>
      </c>
      <c r="B79" s="224">
        <f>Røntgenrør!I3</f>
        <v>0</v>
      </c>
    </row>
    <row r="80" spans="1:2" x14ac:dyDescent="0.2">
      <c r="A80" s="223" t="s">
        <v>158</v>
      </c>
      <c r="B80" s="224">
        <f>Røntgenrør!I4</f>
        <v>0</v>
      </c>
    </row>
    <row r="81" spans="1:2" x14ac:dyDescent="0.2">
      <c r="A81" s="223" t="s">
        <v>1038</v>
      </c>
      <c r="B81" s="224">
        <f>Røntgenrør!I5</f>
        <v>0</v>
      </c>
    </row>
    <row r="82" spans="1:2" x14ac:dyDescent="0.2">
      <c r="A82" s="223" t="s">
        <v>359</v>
      </c>
      <c r="B82" s="224">
        <f>Røntgenrør!O10</f>
        <v>40</v>
      </c>
    </row>
    <row r="83" spans="1:2" x14ac:dyDescent="0.2">
      <c r="A83" s="223" t="s">
        <v>360</v>
      </c>
      <c r="B83" s="224">
        <f>Røntgenrør!P10</f>
        <v>80</v>
      </c>
    </row>
    <row r="84" spans="1:2" x14ac:dyDescent="0.2">
      <c r="A84" s="223" t="s">
        <v>361</v>
      </c>
      <c r="B84" s="224">
        <f>Røntgenrør!Q10</f>
        <v>50</v>
      </c>
    </row>
    <row r="85" spans="1:2" x14ac:dyDescent="0.2">
      <c r="A85" s="223" t="s">
        <v>362</v>
      </c>
      <c r="B85" s="224">
        <f>Røntgenrør!R10</f>
        <v>4</v>
      </c>
    </row>
    <row r="86" spans="1:2" x14ac:dyDescent="0.2">
      <c r="A86" s="223" t="s">
        <v>363</v>
      </c>
      <c r="B86" s="225">
        <f>Røntgenrør!S10</f>
        <v>0</v>
      </c>
    </row>
    <row r="87" spans="1:2" x14ac:dyDescent="0.2">
      <c r="A87" s="223" t="s">
        <v>364</v>
      </c>
      <c r="B87">
        <f>Røntgenrør!T10</f>
        <v>0</v>
      </c>
    </row>
    <row r="88" spans="1:2" x14ac:dyDescent="0.2">
      <c r="A88" s="223" t="s">
        <v>365</v>
      </c>
      <c r="B88" s="225">
        <f>Røntgenrør!U10</f>
        <v>0</v>
      </c>
    </row>
    <row r="89" spans="1:2" x14ac:dyDescent="0.2">
      <c r="A89" s="223" t="s">
        <v>366</v>
      </c>
      <c r="B89" s="225">
        <f>Røntgenrør!V10</f>
        <v>0</v>
      </c>
    </row>
    <row r="90" spans="1:2" x14ac:dyDescent="0.2">
      <c r="A90" s="223" t="s">
        <v>367</v>
      </c>
      <c r="B90" s="224">
        <f>Røntgenrør!O11</f>
        <v>50</v>
      </c>
    </row>
    <row r="91" spans="1:2" x14ac:dyDescent="0.2">
      <c r="A91" s="223" t="s">
        <v>368</v>
      </c>
      <c r="B91" s="224">
        <f>Røntgenrør!P11</f>
        <v>80</v>
      </c>
    </row>
    <row r="92" spans="1:2" x14ac:dyDescent="0.2">
      <c r="A92" s="223" t="s">
        <v>369</v>
      </c>
      <c r="B92" s="224">
        <f>Røntgenrør!Q11</f>
        <v>50</v>
      </c>
    </row>
    <row r="93" spans="1:2" x14ac:dyDescent="0.2">
      <c r="A93" s="223" t="s">
        <v>370</v>
      </c>
      <c r="B93" s="224">
        <f>Røntgenrør!R11</f>
        <v>4</v>
      </c>
    </row>
    <row r="94" spans="1:2" x14ac:dyDescent="0.2">
      <c r="A94" s="223" t="s">
        <v>371</v>
      </c>
      <c r="B94" s="225">
        <f>Røntgenrør!S11</f>
        <v>0</v>
      </c>
    </row>
    <row r="95" spans="1:2" x14ac:dyDescent="0.2">
      <c r="A95" s="223" t="s">
        <v>372</v>
      </c>
      <c r="B95">
        <f>Røntgenrør!T11</f>
        <v>0</v>
      </c>
    </row>
    <row r="96" spans="1:2" x14ac:dyDescent="0.2">
      <c r="A96" s="223" t="s">
        <v>373</v>
      </c>
      <c r="B96" s="225">
        <f>Røntgenrør!U11</f>
        <v>0</v>
      </c>
    </row>
    <row r="97" spans="1:2" x14ac:dyDescent="0.2">
      <c r="A97" s="223" t="s">
        <v>374</v>
      </c>
      <c r="B97" s="225">
        <f>Røntgenrør!V11</f>
        <v>0</v>
      </c>
    </row>
    <row r="98" spans="1:2" x14ac:dyDescent="0.2">
      <c r="A98" s="223" t="s">
        <v>375</v>
      </c>
      <c r="B98" s="224">
        <f>Røntgenrør!O12</f>
        <v>60</v>
      </c>
    </row>
    <row r="99" spans="1:2" x14ac:dyDescent="0.2">
      <c r="A99" s="223" t="s">
        <v>376</v>
      </c>
      <c r="B99" s="224">
        <f>Røntgenrør!P12</f>
        <v>80</v>
      </c>
    </row>
    <row r="100" spans="1:2" x14ac:dyDescent="0.2">
      <c r="A100" s="223" t="s">
        <v>377</v>
      </c>
      <c r="B100" s="224">
        <f>Røntgenrør!Q12</f>
        <v>50</v>
      </c>
    </row>
    <row r="101" spans="1:2" x14ac:dyDescent="0.2">
      <c r="A101" s="223" t="s">
        <v>378</v>
      </c>
      <c r="B101" s="224">
        <f>Røntgenrør!R12</f>
        <v>4</v>
      </c>
    </row>
    <row r="102" spans="1:2" x14ac:dyDescent="0.2">
      <c r="A102" s="223" t="s">
        <v>379</v>
      </c>
      <c r="B102" s="225">
        <f>Røntgenrør!S12</f>
        <v>0</v>
      </c>
    </row>
    <row r="103" spans="1:2" x14ac:dyDescent="0.2">
      <c r="A103" s="223" t="s">
        <v>380</v>
      </c>
      <c r="B103">
        <f>Røntgenrør!T12</f>
        <v>0</v>
      </c>
    </row>
    <row r="104" spans="1:2" x14ac:dyDescent="0.2">
      <c r="A104" s="223" t="s">
        <v>381</v>
      </c>
      <c r="B104" s="225">
        <f>Røntgenrør!U12</f>
        <v>0</v>
      </c>
    </row>
    <row r="105" spans="1:2" x14ac:dyDescent="0.2">
      <c r="A105" s="223" t="s">
        <v>382</v>
      </c>
      <c r="B105" s="225">
        <f>Røntgenrør!V12</f>
        <v>0</v>
      </c>
    </row>
    <row r="106" spans="1:2" x14ac:dyDescent="0.2">
      <c r="A106" s="223" t="s">
        <v>383</v>
      </c>
      <c r="B106" s="224">
        <f>Røntgenrør!O13</f>
        <v>70</v>
      </c>
    </row>
    <row r="107" spans="1:2" x14ac:dyDescent="0.2">
      <c r="A107" s="223" t="s">
        <v>384</v>
      </c>
      <c r="B107" s="224">
        <f>Røntgenrør!P13</f>
        <v>80</v>
      </c>
    </row>
    <row r="108" spans="1:2" x14ac:dyDescent="0.2">
      <c r="A108" s="223" t="s">
        <v>385</v>
      </c>
      <c r="B108" s="224">
        <f>Røntgenrør!Q13</f>
        <v>50</v>
      </c>
    </row>
    <row r="109" spans="1:2" x14ac:dyDescent="0.2">
      <c r="A109" s="223" t="s">
        <v>386</v>
      </c>
      <c r="B109" s="224">
        <f>Røntgenrør!R13</f>
        <v>4</v>
      </c>
    </row>
    <row r="110" spans="1:2" x14ac:dyDescent="0.2">
      <c r="A110" s="223" t="s">
        <v>387</v>
      </c>
      <c r="B110" s="225">
        <f>Røntgenrør!S13</f>
        <v>0</v>
      </c>
    </row>
    <row r="111" spans="1:2" x14ac:dyDescent="0.2">
      <c r="A111" s="223" t="s">
        <v>388</v>
      </c>
      <c r="B111">
        <f>Røntgenrør!T13</f>
        <v>0</v>
      </c>
    </row>
    <row r="112" spans="1:2" x14ac:dyDescent="0.2">
      <c r="A112" s="223" t="s">
        <v>389</v>
      </c>
      <c r="B112" s="225">
        <f>Røntgenrør!U13</f>
        <v>0</v>
      </c>
    </row>
    <row r="113" spans="1:2" x14ac:dyDescent="0.2">
      <c r="A113" s="223" t="s">
        <v>390</v>
      </c>
      <c r="B113" s="225">
        <f>Røntgenrør!V13</f>
        <v>0</v>
      </c>
    </row>
    <row r="114" spans="1:2" x14ac:dyDescent="0.2">
      <c r="A114" s="223" t="s">
        <v>391</v>
      </c>
      <c r="B114" s="224">
        <f>Røntgenrør!O14</f>
        <v>80</v>
      </c>
    </row>
    <row r="115" spans="1:2" x14ac:dyDescent="0.2">
      <c r="A115" s="223" t="s">
        <v>392</v>
      </c>
      <c r="B115" s="224">
        <f>Røntgenrør!P14</f>
        <v>80</v>
      </c>
    </row>
    <row r="116" spans="1:2" x14ac:dyDescent="0.2">
      <c r="A116" s="223" t="s">
        <v>393</v>
      </c>
      <c r="B116" s="224">
        <f>Røntgenrør!Q14</f>
        <v>50</v>
      </c>
    </row>
    <row r="117" spans="1:2" x14ac:dyDescent="0.2">
      <c r="A117" s="223" t="s">
        <v>394</v>
      </c>
      <c r="B117" s="224">
        <f>Røntgenrør!R14</f>
        <v>4</v>
      </c>
    </row>
    <row r="118" spans="1:2" x14ac:dyDescent="0.2">
      <c r="A118" s="223" t="s">
        <v>395</v>
      </c>
      <c r="B118" s="225">
        <f>Røntgenrør!S14</f>
        <v>0</v>
      </c>
    </row>
    <row r="119" spans="1:2" x14ac:dyDescent="0.2">
      <c r="A119" s="223" t="s">
        <v>396</v>
      </c>
      <c r="B119">
        <f>Røntgenrør!T14</f>
        <v>0</v>
      </c>
    </row>
    <row r="120" spans="1:2" x14ac:dyDescent="0.2">
      <c r="A120" s="223" t="s">
        <v>397</v>
      </c>
      <c r="B120" s="225">
        <f>Røntgenrør!U14</f>
        <v>0</v>
      </c>
    </row>
    <row r="121" spans="1:2" x14ac:dyDescent="0.2">
      <c r="A121" s="223" t="s">
        <v>398</v>
      </c>
      <c r="B121" s="225">
        <f>Røntgenrør!V14</f>
        <v>0</v>
      </c>
    </row>
    <row r="122" spans="1:2" x14ac:dyDescent="0.2">
      <c r="A122" s="223" t="s">
        <v>399</v>
      </c>
      <c r="B122" s="224">
        <f>Røntgenrør!O15</f>
        <v>80</v>
      </c>
    </row>
    <row r="123" spans="1:2" x14ac:dyDescent="0.2">
      <c r="A123" s="223" t="s">
        <v>400</v>
      </c>
      <c r="B123" s="224">
        <f>Røntgenrør!P15</f>
        <v>80</v>
      </c>
    </row>
    <row r="124" spans="1:2" x14ac:dyDescent="0.2">
      <c r="A124" s="223" t="s">
        <v>401</v>
      </c>
      <c r="B124" s="224">
        <f>Røntgenrør!Q15</f>
        <v>50</v>
      </c>
    </row>
    <row r="125" spans="1:2" x14ac:dyDescent="0.2">
      <c r="A125" s="223" t="s">
        <v>402</v>
      </c>
      <c r="B125" s="224">
        <f>Røntgenrør!R15</f>
        <v>4</v>
      </c>
    </row>
    <row r="126" spans="1:2" x14ac:dyDescent="0.2">
      <c r="A126" s="223" t="s">
        <v>403</v>
      </c>
      <c r="B126" s="225">
        <f>Røntgenrør!S15</f>
        <v>0</v>
      </c>
    </row>
    <row r="127" spans="1:2" x14ac:dyDescent="0.2">
      <c r="A127" s="223" t="s">
        <v>404</v>
      </c>
      <c r="B127">
        <f>Røntgenrør!T15</f>
        <v>0</v>
      </c>
    </row>
    <row r="128" spans="1:2" x14ac:dyDescent="0.2">
      <c r="A128" s="223" t="s">
        <v>405</v>
      </c>
      <c r="B128" s="225">
        <f>Røntgenrør!U15</f>
        <v>0</v>
      </c>
    </row>
    <row r="129" spans="1:2" x14ac:dyDescent="0.2">
      <c r="A129" s="223" t="s">
        <v>406</v>
      </c>
      <c r="B129" s="225">
        <f>Røntgenrør!V15</f>
        <v>0</v>
      </c>
    </row>
    <row r="130" spans="1:2" x14ac:dyDescent="0.2">
      <c r="A130" s="223" t="s">
        <v>407</v>
      </c>
      <c r="B130" s="224">
        <f>Røntgenrør!O16</f>
        <v>80</v>
      </c>
    </row>
    <row r="131" spans="1:2" x14ac:dyDescent="0.2">
      <c r="A131" s="223" t="s">
        <v>408</v>
      </c>
      <c r="B131" s="224">
        <f>Røntgenrør!P16</f>
        <v>80</v>
      </c>
    </row>
    <row r="132" spans="1:2" x14ac:dyDescent="0.2">
      <c r="A132" s="223" t="s">
        <v>409</v>
      </c>
      <c r="B132" s="224">
        <f>Røntgenrør!Q16</f>
        <v>50</v>
      </c>
    </row>
    <row r="133" spans="1:2" x14ac:dyDescent="0.2">
      <c r="A133" s="223" t="s">
        <v>410</v>
      </c>
      <c r="B133" s="224">
        <f>Røntgenrør!R16</f>
        <v>4</v>
      </c>
    </row>
    <row r="134" spans="1:2" x14ac:dyDescent="0.2">
      <c r="A134" s="223" t="s">
        <v>411</v>
      </c>
      <c r="B134" s="225">
        <f>Røntgenrør!S16</f>
        <v>0</v>
      </c>
    </row>
    <row r="135" spans="1:2" x14ac:dyDescent="0.2">
      <c r="A135" s="223" t="s">
        <v>412</v>
      </c>
      <c r="B135">
        <f>Røntgenrør!T16</f>
        <v>0</v>
      </c>
    </row>
    <row r="136" spans="1:2" x14ac:dyDescent="0.2">
      <c r="A136" s="223" t="s">
        <v>413</v>
      </c>
      <c r="B136" s="225">
        <f>Røntgenrør!U16</f>
        <v>0</v>
      </c>
    </row>
    <row r="137" spans="1:2" x14ac:dyDescent="0.2">
      <c r="A137" s="223" t="s">
        <v>414</v>
      </c>
      <c r="B137" s="225">
        <f>Røntgenrør!V16</f>
        <v>0</v>
      </c>
    </row>
    <row r="138" spans="1:2" x14ac:dyDescent="0.2">
      <c r="A138" s="223" t="s">
        <v>415</v>
      </c>
      <c r="B138" s="224">
        <f>Røntgenrør!O17</f>
        <v>80</v>
      </c>
    </row>
    <row r="139" spans="1:2" x14ac:dyDescent="0.2">
      <c r="A139" s="223" t="s">
        <v>416</v>
      </c>
      <c r="B139" s="224">
        <f>Røntgenrør!P17</f>
        <v>80</v>
      </c>
    </row>
    <row r="140" spans="1:2" x14ac:dyDescent="0.2">
      <c r="A140" s="223" t="s">
        <v>417</v>
      </c>
      <c r="B140" s="224">
        <f>Røntgenrør!Q17</f>
        <v>50</v>
      </c>
    </row>
    <row r="141" spans="1:2" x14ac:dyDescent="0.2">
      <c r="A141" s="223" t="s">
        <v>418</v>
      </c>
      <c r="B141" s="224">
        <f>Røntgenrør!R17</f>
        <v>4</v>
      </c>
    </row>
    <row r="142" spans="1:2" x14ac:dyDescent="0.2">
      <c r="A142" s="223" t="s">
        <v>419</v>
      </c>
      <c r="B142" s="225">
        <f>Røntgenrør!S17</f>
        <v>0</v>
      </c>
    </row>
    <row r="143" spans="1:2" x14ac:dyDescent="0.2">
      <c r="A143" s="223" t="s">
        <v>420</v>
      </c>
      <c r="B143">
        <f>Røntgenrør!T17</f>
        <v>0</v>
      </c>
    </row>
    <row r="144" spans="1:2" x14ac:dyDescent="0.2">
      <c r="A144" s="223" t="s">
        <v>421</v>
      </c>
      <c r="B144" s="225">
        <f>Røntgenrør!U17</f>
        <v>0</v>
      </c>
    </row>
    <row r="145" spans="1:2" x14ac:dyDescent="0.2">
      <c r="A145" s="223" t="s">
        <v>422</v>
      </c>
      <c r="B145" s="225">
        <f>Røntgenrør!V17</f>
        <v>0</v>
      </c>
    </row>
    <row r="146" spans="1:2" x14ac:dyDescent="0.2">
      <c r="A146" s="223" t="s">
        <v>423</v>
      </c>
      <c r="B146" s="224">
        <f>Røntgenrør!O18</f>
        <v>80</v>
      </c>
    </row>
    <row r="147" spans="1:2" x14ac:dyDescent="0.2">
      <c r="A147" s="223" t="s">
        <v>424</v>
      </c>
      <c r="B147" s="224">
        <f>Røntgenrør!P18</f>
        <v>80</v>
      </c>
    </row>
    <row r="148" spans="1:2" x14ac:dyDescent="0.2">
      <c r="A148" s="223" t="s">
        <v>425</v>
      </c>
      <c r="B148" s="224">
        <f>Røntgenrør!Q18</f>
        <v>50</v>
      </c>
    </row>
    <row r="149" spans="1:2" x14ac:dyDescent="0.2">
      <c r="A149" s="223" t="s">
        <v>426</v>
      </c>
      <c r="B149" s="224">
        <f>Røntgenrør!R18</f>
        <v>4</v>
      </c>
    </row>
    <row r="150" spans="1:2" x14ac:dyDescent="0.2">
      <c r="A150" s="223" t="s">
        <v>427</v>
      </c>
      <c r="B150" s="225">
        <f>Røntgenrør!S18</f>
        <v>0</v>
      </c>
    </row>
    <row r="151" spans="1:2" x14ac:dyDescent="0.2">
      <c r="A151" s="223" t="s">
        <v>428</v>
      </c>
      <c r="B151">
        <f>Røntgenrør!T18</f>
        <v>0</v>
      </c>
    </row>
    <row r="152" spans="1:2" x14ac:dyDescent="0.2">
      <c r="A152" s="223" t="s">
        <v>429</v>
      </c>
      <c r="B152" s="225">
        <f>Røntgenrør!U18</f>
        <v>0</v>
      </c>
    </row>
    <row r="153" spans="1:2" x14ac:dyDescent="0.2">
      <c r="A153" s="223" t="s">
        <v>430</v>
      </c>
      <c r="B153" s="225">
        <f>Røntgenrør!V18</f>
        <v>0</v>
      </c>
    </row>
    <row r="154" spans="1:2" x14ac:dyDescent="0.2">
      <c r="A154" s="223" t="s">
        <v>431</v>
      </c>
      <c r="B154" s="224">
        <f>Røntgenrør!O19</f>
        <v>80</v>
      </c>
    </row>
    <row r="155" spans="1:2" x14ac:dyDescent="0.2">
      <c r="A155" s="223" t="s">
        <v>432</v>
      </c>
      <c r="B155" s="224">
        <f>Røntgenrør!P19</f>
        <v>80</v>
      </c>
    </row>
    <row r="156" spans="1:2" x14ac:dyDescent="0.2">
      <c r="A156" s="223" t="s">
        <v>433</v>
      </c>
      <c r="B156" s="224">
        <f>Røntgenrør!Q19</f>
        <v>50</v>
      </c>
    </row>
    <row r="157" spans="1:2" x14ac:dyDescent="0.2">
      <c r="A157" s="223" t="s">
        <v>434</v>
      </c>
      <c r="B157" s="224">
        <f>Røntgenrør!R19</f>
        <v>4</v>
      </c>
    </row>
    <row r="158" spans="1:2" x14ac:dyDescent="0.2">
      <c r="A158" s="223" t="s">
        <v>435</v>
      </c>
      <c r="B158" s="225">
        <f>Røntgenrør!S19</f>
        <v>0</v>
      </c>
    </row>
    <row r="159" spans="1:2" x14ac:dyDescent="0.2">
      <c r="A159" s="223" t="s">
        <v>436</v>
      </c>
      <c r="B159">
        <f>Røntgenrør!T19</f>
        <v>0</v>
      </c>
    </row>
    <row r="160" spans="1:2" x14ac:dyDescent="0.2">
      <c r="A160" s="223" t="s">
        <v>437</v>
      </c>
      <c r="B160" s="225">
        <f>Røntgenrør!U19</f>
        <v>0</v>
      </c>
    </row>
    <row r="161" spans="1:2" x14ac:dyDescent="0.2">
      <c r="A161" s="223" t="s">
        <v>438</v>
      </c>
      <c r="B161" s="225">
        <f>Røntgenrør!V19</f>
        <v>0</v>
      </c>
    </row>
    <row r="162" spans="1:2" x14ac:dyDescent="0.2">
      <c r="A162" s="223" t="s">
        <v>439</v>
      </c>
      <c r="B162" s="224">
        <f>Røntgenrør!O20</f>
        <v>80</v>
      </c>
    </row>
    <row r="163" spans="1:2" x14ac:dyDescent="0.2">
      <c r="A163" s="223" t="s">
        <v>440</v>
      </c>
      <c r="B163" s="224">
        <f>Røntgenrør!P20</f>
        <v>80</v>
      </c>
    </row>
    <row r="164" spans="1:2" x14ac:dyDescent="0.2">
      <c r="A164" s="223" t="s">
        <v>441</v>
      </c>
      <c r="B164" s="224">
        <f>Røntgenrør!Q20</f>
        <v>50</v>
      </c>
    </row>
    <row r="165" spans="1:2" x14ac:dyDescent="0.2">
      <c r="A165" s="223" t="s">
        <v>442</v>
      </c>
      <c r="B165" s="224">
        <f>Røntgenrør!R20</f>
        <v>4</v>
      </c>
    </row>
    <row r="166" spans="1:2" x14ac:dyDescent="0.2">
      <c r="A166" s="223" t="s">
        <v>443</v>
      </c>
      <c r="B166" s="225">
        <f>Røntgenrør!S20</f>
        <v>0</v>
      </c>
    </row>
    <row r="167" spans="1:2" x14ac:dyDescent="0.2">
      <c r="A167" s="223" t="s">
        <v>444</v>
      </c>
      <c r="B167">
        <f>Røntgenrør!T20</f>
        <v>0</v>
      </c>
    </row>
    <row r="168" spans="1:2" x14ac:dyDescent="0.2">
      <c r="A168" s="223" t="s">
        <v>445</v>
      </c>
      <c r="B168" s="225">
        <f>Røntgenrør!U20</f>
        <v>0</v>
      </c>
    </row>
    <row r="169" spans="1:2" x14ac:dyDescent="0.2">
      <c r="A169" s="223" t="s">
        <v>446</v>
      </c>
      <c r="B169" s="225">
        <f>Røntgenrør!V20</f>
        <v>0</v>
      </c>
    </row>
    <row r="170" spans="1:2" x14ac:dyDescent="0.2">
      <c r="A170" s="223" t="s">
        <v>447</v>
      </c>
      <c r="B170" s="224">
        <f>Røntgenrør!O21</f>
        <v>80</v>
      </c>
    </row>
    <row r="171" spans="1:2" x14ac:dyDescent="0.2">
      <c r="A171" s="223" t="s">
        <v>448</v>
      </c>
      <c r="B171" s="224">
        <f>Røntgenrør!P21</f>
        <v>80</v>
      </c>
    </row>
    <row r="172" spans="1:2" x14ac:dyDescent="0.2">
      <c r="A172" s="223" t="s">
        <v>449</v>
      </c>
      <c r="B172" s="224">
        <f>Røntgenrør!Q21</f>
        <v>50</v>
      </c>
    </row>
    <row r="173" spans="1:2" x14ac:dyDescent="0.2">
      <c r="A173" s="223" t="s">
        <v>450</v>
      </c>
      <c r="B173" s="224">
        <f>Røntgenrør!R21</f>
        <v>4</v>
      </c>
    </row>
    <row r="174" spans="1:2" x14ac:dyDescent="0.2">
      <c r="A174" s="223" t="s">
        <v>451</v>
      </c>
      <c r="B174" s="225">
        <f>Røntgenrør!S21</f>
        <v>0</v>
      </c>
    </row>
    <row r="175" spans="1:2" x14ac:dyDescent="0.2">
      <c r="A175" s="223" t="s">
        <v>452</v>
      </c>
      <c r="B175">
        <f>Røntgenrør!T21</f>
        <v>0</v>
      </c>
    </row>
    <row r="176" spans="1:2" x14ac:dyDescent="0.2">
      <c r="A176" s="223" t="s">
        <v>453</v>
      </c>
      <c r="B176" s="225">
        <f>Røntgenrør!U21</f>
        <v>0</v>
      </c>
    </row>
    <row r="177" spans="1:2" x14ac:dyDescent="0.2">
      <c r="A177" s="223" t="s">
        <v>454</v>
      </c>
      <c r="B177" s="225">
        <f>Røntgenrør!V21</f>
        <v>0</v>
      </c>
    </row>
    <row r="178" spans="1:2" x14ac:dyDescent="0.2">
      <c r="A178" s="223" t="s">
        <v>455</v>
      </c>
      <c r="B178" s="224">
        <f>Røntgenrør!O22</f>
        <v>90</v>
      </c>
    </row>
    <row r="179" spans="1:2" x14ac:dyDescent="0.2">
      <c r="A179" s="223" t="s">
        <v>456</v>
      </c>
      <c r="B179" s="224">
        <f>Røntgenrør!P22</f>
        <v>80</v>
      </c>
    </row>
    <row r="180" spans="1:2" x14ac:dyDescent="0.2">
      <c r="A180" s="223" t="s">
        <v>457</v>
      </c>
      <c r="B180" s="224">
        <f>Røntgenrør!Q22</f>
        <v>50</v>
      </c>
    </row>
    <row r="181" spans="1:2" x14ac:dyDescent="0.2">
      <c r="A181" s="223" t="s">
        <v>458</v>
      </c>
      <c r="B181" s="224">
        <f>Røntgenrør!R22</f>
        <v>4</v>
      </c>
    </row>
    <row r="182" spans="1:2" x14ac:dyDescent="0.2">
      <c r="A182" s="223" t="s">
        <v>459</v>
      </c>
      <c r="B182" s="225">
        <f>Røntgenrør!S22</f>
        <v>0</v>
      </c>
    </row>
    <row r="183" spans="1:2" x14ac:dyDescent="0.2">
      <c r="A183" s="223" t="s">
        <v>460</v>
      </c>
      <c r="B183">
        <f>Røntgenrør!T22</f>
        <v>0</v>
      </c>
    </row>
    <row r="184" spans="1:2" x14ac:dyDescent="0.2">
      <c r="A184" s="223" t="s">
        <v>461</v>
      </c>
      <c r="B184" s="225">
        <f>Røntgenrør!U22</f>
        <v>0</v>
      </c>
    </row>
    <row r="185" spans="1:2" x14ac:dyDescent="0.2">
      <c r="A185" s="223" t="s">
        <v>462</v>
      </c>
      <c r="B185" s="225">
        <f>Røntgenrør!V22</f>
        <v>0</v>
      </c>
    </row>
    <row r="186" spans="1:2" x14ac:dyDescent="0.2">
      <c r="A186" s="223" t="s">
        <v>463</v>
      </c>
      <c r="B186" s="224">
        <f>Røntgenrør!O23</f>
        <v>110</v>
      </c>
    </row>
    <row r="187" spans="1:2" x14ac:dyDescent="0.2">
      <c r="A187" s="223" t="s">
        <v>464</v>
      </c>
      <c r="B187" s="224">
        <f>Røntgenrør!P23</f>
        <v>80</v>
      </c>
    </row>
    <row r="188" spans="1:2" x14ac:dyDescent="0.2">
      <c r="A188" s="223" t="s">
        <v>465</v>
      </c>
      <c r="B188" s="224">
        <f>Røntgenrør!Q23</f>
        <v>50</v>
      </c>
    </row>
    <row r="189" spans="1:2" x14ac:dyDescent="0.2">
      <c r="A189" s="223" t="s">
        <v>466</v>
      </c>
      <c r="B189" s="224">
        <f>Røntgenrør!R23</f>
        <v>4</v>
      </c>
    </row>
    <row r="190" spans="1:2" x14ac:dyDescent="0.2">
      <c r="A190" s="223" t="s">
        <v>467</v>
      </c>
      <c r="B190" s="225">
        <f>Røntgenrør!S23</f>
        <v>0</v>
      </c>
    </row>
    <row r="191" spans="1:2" x14ac:dyDescent="0.2">
      <c r="A191" s="223" t="s">
        <v>468</v>
      </c>
      <c r="B191">
        <f>Røntgenrør!T23</f>
        <v>0</v>
      </c>
    </row>
    <row r="192" spans="1:2" x14ac:dyDescent="0.2">
      <c r="A192" s="223" t="s">
        <v>469</v>
      </c>
      <c r="B192" s="225">
        <f>Røntgenrør!U23</f>
        <v>0</v>
      </c>
    </row>
    <row r="193" spans="1:2" x14ac:dyDescent="0.2">
      <c r="A193" s="223" t="s">
        <v>470</v>
      </c>
      <c r="B193" s="225">
        <f>Røntgenrør!V23</f>
        <v>0</v>
      </c>
    </row>
    <row r="194" spans="1:2" x14ac:dyDescent="0.2">
      <c r="A194" s="223" t="s">
        <v>471</v>
      </c>
      <c r="B194" s="224">
        <f>Røntgenrør!O24</f>
        <v>125</v>
      </c>
    </row>
    <row r="195" spans="1:2" x14ac:dyDescent="0.2">
      <c r="A195" s="223" t="s">
        <v>472</v>
      </c>
      <c r="B195" s="224">
        <f>Røntgenrør!P24</f>
        <v>80</v>
      </c>
    </row>
    <row r="196" spans="1:2" x14ac:dyDescent="0.2">
      <c r="A196" s="223" t="s">
        <v>473</v>
      </c>
      <c r="B196" s="224">
        <f>Røntgenrør!Q24</f>
        <v>50</v>
      </c>
    </row>
    <row r="197" spans="1:2" x14ac:dyDescent="0.2">
      <c r="A197" s="223" t="s">
        <v>474</v>
      </c>
      <c r="B197" s="224">
        <f>Røntgenrør!R24</f>
        <v>4</v>
      </c>
    </row>
    <row r="198" spans="1:2" x14ac:dyDescent="0.2">
      <c r="A198" s="223" t="s">
        <v>475</v>
      </c>
      <c r="B198" s="225">
        <f>Røntgenrør!S24</f>
        <v>0</v>
      </c>
    </row>
    <row r="199" spans="1:2" x14ac:dyDescent="0.2">
      <c r="A199" s="223" t="s">
        <v>476</v>
      </c>
      <c r="B199">
        <f>Røntgenrør!T24</f>
        <v>0</v>
      </c>
    </row>
    <row r="200" spans="1:2" x14ac:dyDescent="0.2">
      <c r="A200" s="223" t="s">
        <v>477</v>
      </c>
      <c r="B200" s="225">
        <f>Røntgenrør!U24</f>
        <v>0</v>
      </c>
    </row>
    <row r="201" spans="1:2" x14ac:dyDescent="0.2">
      <c r="A201" s="223" t="s">
        <v>478</v>
      </c>
      <c r="B201" s="225">
        <f>Røntgenrør!V24</f>
        <v>0</v>
      </c>
    </row>
    <row r="202" spans="1:2" x14ac:dyDescent="0.2">
      <c r="A202" s="223" t="s">
        <v>479</v>
      </c>
      <c r="B202" s="224">
        <f>Røntgenrør!O25</f>
        <v>150</v>
      </c>
    </row>
    <row r="203" spans="1:2" x14ac:dyDescent="0.2">
      <c r="A203" s="223" t="s">
        <v>480</v>
      </c>
      <c r="B203" s="224">
        <f>Røntgenrør!P25</f>
        <v>80</v>
      </c>
    </row>
    <row r="204" spans="1:2" x14ac:dyDescent="0.2">
      <c r="A204" s="223" t="s">
        <v>481</v>
      </c>
      <c r="B204" s="224">
        <f>Røntgenrør!Q25</f>
        <v>50</v>
      </c>
    </row>
    <row r="205" spans="1:2" x14ac:dyDescent="0.2">
      <c r="A205" s="223" t="s">
        <v>482</v>
      </c>
      <c r="B205" s="224">
        <f>Røntgenrør!R25</f>
        <v>4</v>
      </c>
    </row>
    <row r="206" spans="1:2" x14ac:dyDescent="0.2">
      <c r="A206" s="223" t="s">
        <v>483</v>
      </c>
      <c r="B206" s="225">
        <f>Røntgenrør!S25</f>
        <v>0</v>
      </c>
    </row>
    <row r="207" spans="1:2" x14ac:dyDescent="0.2">
      <c r="A207" s="223" t="s">
        <v>484</v>
      </c>
      <c r="B207">
        <f>Røntgenrør!T25</f>
        <v>0</v>
      </c>
    </row>
    <row r="208" spans="1:2" x14ac:dyDescent="0.2">
      <c r="A208" s="223" t="s">
        <v>485</v>
      </c>
      <c r="B208" s="225">
        <f>Røntgenrør!U25</f>
        <v>0</v>
      </c>
    </row>
    <row r="209" spans="1:2" x14ac:dyDescent="0.2">
      <c r="A209" s="223" t="s">
        <v>486</v>
      </c>
      <c r="B209" s="225">
        <f>Røntgenrør!V25</f>
        <v>0</v>
      </c>
    </row>
    <row r="210" spans="1:2" x14ac:dyDescent="0.2">
      <c r="A210" s="223" t="s">
        <v>487</v>
      </c>
      <c r="B210" s="224">
        <f>Røntgenrør!O26</f>
        <v>80</v>
      </c>
    </row>
    <row r="211" spans="1:2" x14ac:dyDescent="0.2">
      <c r="A211" s="223" t="s">
        <v>488</v>
      </c>
      <c r="B211" s="224">
        <f>Røntgenrør!P26</f>
        <v>160</v>
      </c>
    </row>
    <row r="212" spans="1:2" x14ac:dyDescent="0.2">
      <c r="A212" s="223" t="s">
        <v>489</v>
      </c>
      <c r="B212" s="224">
        <f>Røntgenrør!Q26</f>
        <v>400</v>
      </c>
    </row>
    <row r="213" spans="1:2" x14ac:dyDescent="0.2">
      <c r="A213" s="223" t="s">
        <v>490</v>
      </c>
      <c r="B213" s="224">
        <f>Røntgenrør!R26</f>
        <v>64</v>
      </c>
    </row>
    <row r="214" spans="1:2" x14ac:dyDescent="0.2">
      <c r="A214" s="223" t="s">
        <v>491</v>
      </c>
      <c r="B214" s="225">
        <f>Røntgenrør!S26</f>
        <v>0</v>
      </c>
    </row>
    <row r="215" spans="1:2" x14ac:dyDescent="0.2">
      <c r="A215" s="223" t="s">
        <v>492</v>
      </c>
      <c r="B215">
        <f>Røntgenrør!T26</f>
        <v>0</v>
      </c>
    </row>
    <row r="216" spans="1:2" x14ac:dyDescent="0.2">
      <c r="A216" s="223" t="s">
        <v>493</v>
      </c>
      <c r="B216" s="225">
        <f>Røntgenrør!U26</f>
        <v>0</v>
      </c>
    </row>
    <row r="217" spans="1:2" x14ac:dyDescent="0.2">
      <c r="A217" s="223" t="s">
        <v>494</v>
      </c>
      <c r="B217" s="225">
        <f>Røntgenrør!V26</f>
        <v>0</v>
      </c>
    </row>
    <row r="218" spans="1:2" x14ac:dyDescent="0.2">
      <c r="A218" s="223" t="s">
        <v>495</v>
      </c>
      <c r="B218" s="224">
        <f>Røntgenrør!O27</f>
        <v>80</v>
      </c>
    </row>
    <row r="219" spans="1:2" x14ac:dyDescent="0.2">
      <c r="A219" s="223" t="s">
        <v>496</v>
      </c>
      <c r="B219" s="224">
        <f>Røntgenrør!P27</f>
        <v>160</v>
      </c>
    </row>
    <row r="220" spans="1:2" x14ac:dyDescent="0.2">
      <c r="A220" s="223" t="s">
        <v>497</v>
      </c>
      <c r="B220" s="224">
        <f>Røntgenrør!Q27</f>
        <v>200</v>
      </c>
    </row>
    <row r="221" spans="1:2" x14ac:dyDescent="0.2">
      <c r="A221" s="223" t="s">
        <v>498</v>
      </c>
      <c r="B221" s="224">
        <f>Røntgenrør!R27</f>
        <v>32</v>
      </c>
    </row>
    <row r="222" spans="1:2" x14ac:dyDescent="0.2">
      <c r="A222" s="223" t="s">
        <v>499</v>
      </c>
      <c r="B222" s="225">
        <f>Røntgenrør!S27</f>
        <v>0</v>
      </c>
    </row>
    <row r="223" spans="1:2" x14ac:dyDescent="0.2">
      <c r="A223" s="223" t="s">
        <v>500</v>
      </c>
      <c r="B223">
        <f>Røntgenrør!T27</f>
        <v>0</v>
      </c>
    </row>
    <row r="224" spans="1:2" x14ac:dyDescent="0.2">
      <c r="A224" s="223" t="s">
        <v>501</v>
      </c>
      <c r="B224" s="225">
        <f>Røntgenrør!U27</f>
        <v>0</v>
      </c>
    </row>
    <row r="225" spans="1:2" x14ac:dyDescent="0.2">
      <c r="A225" s="223" t="s">
        <v>502</v>
      </c>
      <c r="B225" s="225">
        <f>Røntgenrør!V27</f>
        <v>0</v>
      </c>
    </row>
    <row r="226" spans="1:2" x14ac:dyDescent="0.2">
      <c r="A226" s="223" t="s">
        <v>503</v>
      </c>
      <c r="B226" s="224">
        <f>Røntgenrør!O28</f>
        <v>80</v>
      </c>
    </row>
    <row r="227" spans="1:2" x14ac:dyDescent="0.2">
      <c r="A227" s="223" t="s">
        <v>504</v>
      </c>
      <c r="B227" s="224">
        <f>Røntgenrør!P28</f>
        <v>160</v>
      </c>
    </row>
    <row r="228" spans="1:2" x14ac:dyDescent="0.2">
      <c r="A228" s="223" t="s">
        <v>505</v>
      </c>
      <c r="B228" s="224">
        <f>Røntgenrør!Q28</f>
        <v>100</v>
      </c>
    </row>
    <row r="229" spans="1:2" x14ac:dyDescent="0.2">
      <c r="A229" s="223" t="s">
        <v>506</v>
      </c>
      <c r="B229" s="224">
        <f>Røntgenrør!R28</f>
        <v>16</v>
      </c>
    </row>
    <row r="230" spans="1:2" x14ac:dyDescent="0.2">
      <c r="A230" s="223" t="s">
        <v>507</v>
      </c>
      <c r="B230" s="225">
        <f>Røntgenrør!S28</f>
        <v>0</v>
      </c>
    </row>
    <row r="231" spans="1:2" x14ac:dyDescent="0.2">
      <c r="A231" s="223" t="s">
        <v>508</v>
      </c>
      <c r="B231">
        <f>Røntgenrør!T28</f>
        <v>0</v>
      </c>
    </row>
    <row r="232" spans="1:2" x14ac:dyDescent="0.2">
      <c r="A232" s="223" t="s">
        <v>509</v>
      </c>
      <c r="B232" s="225">
        <f>Røntgenrør!U28</f>
        <v>0</v>
      </c>
    </row>
    <row r="233" spans="1:2" x14ac:dyDescent="0.2">
      <c r="A233" s="223" t="s">
        <v>510</v>
      </c>
      <c r="B233" s="225">
        <f>Røntgenrør!V28</f>
        <v>0</v>
      </c>
    </row>
    <row r="234" spans="1:2" x14ac:dyDescent="0.2">
      <c r="A234" s="223" t="s">
        <v>511</v>
      </c>
      <c r="B234" s="224">
        <f>Røntgenrør!O29</f>
        <v>80</v>
      </c>
    </row>
    <row r="235" spans="1:2" x14ac:dyDescent="0.2">
      <c r="A235" s="223" t="s">
        <v>512</v>
      </c>
      <c r="B235" s="224">
        <f>Røntgenrør!P29</f>
        <v>160</v>
      </c>
    </row>
    <row r="236" spans="1:2" x14ac:dyDescent="0.2">
      <c r="A236" s="223" t="s">
        <v>513</v>
      </c>
      <c r="B236" s="224">
        <f>Røntgenrør!Q29</f>
        <v>32</v>
      </c>
    </row>
    <row r="237" spans="1:2" x14ac:dyDescent="0.2">
      <c r="A237" s="223" t="s">
        <v>514</v>
      </c>
      <c r="B237" s="224">
        <f>Røntgenrør!R29</f>
        <v>5.12</v>
      </c>
    </row>
    <row r="238" spans="1:2" x14ac:dyDescent="0.2">
      <c r="A238" s="223" t="s">
        <v>515</v>
      </c>
      <c r="B238" s="225">
        <f>Røntgenrør!S29</f>
        <v>0</v>
      </c>
    </row>
    <row r="239" spans="1:2" x14ac:dyDescent="0.2">
      <c r="A239" s="223" t="s">
        <v>516</v>
      </c>
      <c r="B239">
        <f>Røntgenrør!T29</f>
        <v>0</v>
      </c>
    </row>
    <row r="240" spans="1:2" x14ac:dyDescent="0.2">
      <c r="A240" s="223" t="s">
        <v>517</v>
      </c>
      <c r="B240" s="225">
        <f>Røntgenrør!U29</f>
        <v>0</v>
      </c>
    </row>
    <row r="241" spans="1:2" x14ac:dyDescent="0.2">
      <c r="A241" s="223" t="s">
        <v>518</v>
      </c>
      <c r="B241" s="225">
        <f>Røntgenrør!V29</f>
        <v>0</v>
      </c>
    </row>
    <row r="242" spans="1:2" x14ac:dyDescent="0.2">
      <c r="A242" s="223" t="s">
        <v>519</v>
      </c>
      <c r="B242" s="224">
        <f>Røntgenrør!O30</f>
        <v>80</v>
      </c>
    </row>
    <row r="243" spans="1:2" x14ac:dyDescent="0.2">
      <c r="A243" s="223" t="s">
        <v>520</v>
      </c>
      <c r="B243" s="224">
        <f>Røntgenrør!P30</f>
        <v>160</v>
      </c>
    </row>
    <row r="244" spans="1:2" x14ac:dyDescent="0.2">
      <c r="A244" s="223" t="s">
        <v>521</v>
      </c>
      <c r="B244" s="224">
        <f>Røntgenrør!Q30</f>
        <v>10</v>
      </c>
    </row>
    <row r="245" spans="1:2" x14ac:dyDescent="0.2">
      <c r="A245" s="223" t="s">
        <v>522</v>
      </c>
      <c r="B245" s="224">
        <f>Røntgenrør!R30</f>
        <v>1.6</v>
      </c>
    </row>
    <row r="246" spans="1:2" x14ac:dyDescent="0.2">
      <c r="A246" s="223" t="s">
        <v>523</v>
      </c>
      <c r="B246" s="225">
        <f>Røntgenrør!S30</f>
        <v>0</v>
      </c>
    </row>
    <row r="247" spans="1:2" x14ac:dyDescent="0.2">
      <c r="A247" s="223" t="s">
        <v>524</v>
      </c>
      <c r="B247">
        <f>Røntgenrør!T30</f>
        <v>0</v>
      </c>
    </row>
    <row r="248" spans="1:2" x14ac:dyDescent="0.2">
      <c r="A248" s="223" t="s">
        <v>525</v>
      </c>
      <c r="B248" s="225">
        <f>Røntgenrør!U30</f>
        <v>0</v>
      </c>
    </row>
    <row r="249" spans="1:2" x14ac:dyDescent="0.2">
      <c r="A249" s="223" t="s">
        <v>526</v>
      </c>
      <c r="B249" s="225">
        <f>Røntgenrør!V30</f>
        <v>0</v>
      </c>
    </row>
    <row r="250" spans="1:2" x14ac:dyDescent="0.2">
      <c r="A250" s="223" t="s">
        <v>527</v>
      </c>
      <c r="B250" s="224">
        <f>Røntgenrør!O31</f>
        <v>80</v>
      </c>
    </row>
    <row r="251" spans="1:2" x14ac:dyDescent="0.2">
      <c r="A251" s="223" t="s">
        <v>528</v>
      </c>
      <c r="B251" s="224">
        <f>Røntgenrør!P31</f>
        <v>80</v>
      </c>
    </row>
    <row r="252" spans="1:2" x14ac:dyDescent="0.2">
      <c r="A252" s="223" t="s">
        <v>529</v>
      </c>
      <c r="B252" s="224">
        <f>Røntgenrør!Q31</f>
        <v>50</v>
      </c>
    </row>
    <row r="253" spans="1:2" x14ac:dyDescent="0.2">
      <c r="A253" s="223" t="s">
        <v>530</v>
      </c>
      <c r="B253" s="224">
        <f>Røntgenrør!R31</f>
        <v>4</v>
      </c>
    </row>
    <row r="254" spans="1:2" x14ac:dyDescent="0.2">
      <c r="A254" s="223" t="s">
        <v>531</v>
      </c>
      <c r="B254" s="225">
        <f>Røntgenrør!S31</f>
        <v>0</v>
      </c>
    </row>
    <row r="255" spans="1:2" x14ac:dyDescent="0.2">
      <c r="A255" s="223" t="s">
        <v>532</v>
      </c>
      <c r="B255">
        <f>Røntgenrør!T31</f>
        <v>0</v>
      </c>
    </row>
    <row r="256" spans="1:2" x14ac:dyDescent="0.2">
      <c r="A256" s="223" t="s">
        <v>533</v>
      </c>
      <c r="B256" s="225">
        <f>Røntgenrør!U31</f>
        <v>0</v>
      </c>
    </row>
    <row r="257" spans="1:2" x14ac:dyDescent="0.2">
      <c r="A257" s="223" t="s">
        <v>534</v>
      </c>
      <c r="B257" s="225">
        <f>Røntgenrør!V31</f>
        <v>0</v>
      </c>
    </row>
    <row r="258" spans="1:2" x14ac:dyDescent="0.2">
      <c r="A258" s="223" t="s">
        <v>535</v>
      </c>
      <c r="B258" s="224">
        <f>Røntgenrør!O32</f>
        <v>80</v>
      </c>
    </row>
    <row r="259" spans="1:2" x14ac:dyDescent="0.2">
      <c r="A259" s="223" t="s">
        <v>536</v>
      </c>
      <c r="B259" s="224">
        <f>Røntgenrør!P32</f>
        <v>100</v>
      </c>
    </row>
    <row r="260" spans="1:2" x14ac:dyDescent="0.2">
      <c r="A260" s="223" t="s">
        <v>537</v>
      </c>
      <c r="B260" s="224">
        <f>Røntgenrør!Q32</f>
        <v>50</v>
      </c>
    </row>
    <row r="261" spans="1:2" x14ac:dyDescent="0.2">
      <c r="A261" s="223" t="s">
        <v>538</v>
      </c>
      <c r="B261" s="224">
        <f>Røntgenrør!R32</f>
        <v>5</v>
      </c>
    </row>
    <row r="262" spans="1:2" x14ac:dyDescent="0.2">
      <c r="A262" s="223" t="s">
        <v>539</v>
      </c>
      <c r="B262" s="225">
        <f>Røntgenrør!S32</f>
        <v>0</v>
      </c>
    </row>
    <row r="263" spans="1:2" x14ac:dyDescent="0.2">
      <c r="A263" s="223" t="s">
        <v>540</v>
      </c>
      <c r="B263">
        <f>Røntgenrør!T32</f>
        <v>0</v>
      </c>
    </row>
    <row r="264" spans="1:2" x14ac:dyDescent="0.2">
      <c r="A264" s="223" t="s">
        <v>541</v>
      </c>
      <c r="B264" s="225">
        <f>Røntgenrør!U32</f>
        <v>0</v>
      </c>
    </row>
    <row r="265" spans="1:2" x14ac:dyDescent="0.2">
      <c r="A265" s="223" t="s">
        <v>542</v>
      </c>
      <c r="B265" s="225">
        <f>Røntgenrør!V32</f>
        <v>0</v>
      </c>
    </row>
    <row r="266" spans="1:2" x14ac:dyDescent="0.2">
      <c r="A266" s="223" t="s">
        <v>543</v>
      </c>
      <c r="B266" s="224">
        <f>Røntgenrør!O33</f>
        <v>80</v>
      </c>
    </row>
    <row r="267" spans="1:2" x14ac:dyDescent="0.2">
      <c r="A267" s="223" t="s">
        <v>544</v>
      </c>
      <c r="B267" s="224">
        <f>Røntgenrør!P33</f>
        <v>125</v>
      </c>
    </row>
    <row r="268" spans="1:2" x14ac:dyDescent="0.2">
      <c r="A268" s="223" t="s">
        <v>545</v>
      </c>
      <c r="B268" s="224">
        <f>Røntgenrør!Q33</f>
        <v>50</v>
      </c>
    </row>
    <row r="269" spans="1:2" x14ac:dyDescent="0.2">
      <c r="A269" s="223" t="s">
        <v>546</v>
      </c>
      <c r="B269" s="224">
        <f>Røntgenrør!R33</f>
        <v>6.25</v>
      </c>
    </row>
    <row r="270" spans="1:2" x14ac:dyDescent="0.2">
      <c r="A270" s="223" t="s">
        <v>547</v>
      </c>
      <c r="B270" s="225">
        <f>Røntgenrør!S33</f>
        <v>0</v>
      </c>
    </row>
    <row r="271" spans="1:2" x14ac:dyDescent="0.2">
      <c r="A271" s="223" t="s">
        <v>548</v>
      </c>
      <c r="B271">
        <f>Røntgenrør!T33</f>
        <v>0</v>
      </c>
    </row>
    <row r="272" spans="1:2" x14ac:dyDescent="0.2">
      <c r="A272" s="223" t="s">
        <v>549</v>
      </c>
      <c r="B272" s="225">
        <f>Røntgenrør!U33</f>
        <v>0</v>
      </c>
    </row>
    <row r="273" spans="1:2" x14ac:dyDescent="0.2">
      <c r="A273" s="223" t="s">
        <v>550</v>
      </c>
      <c r="B273" s="225">
        <f>Røntgenrør!V33</f>
        <v>0</v>
      </c>
    </row>
    <row r="274" spans="1:2" x14ac:dyDescent="0.2">
      <c r="A274" s="223" t="s">
        <v>551</v>
      </c>
      <c r="B274" s="224">
        <f>Røntgenrør!O34</f>
        <v>80</v>
      </c>
    </row>
    <row r="275" spans="1:2" x14ac:dyDescent="0.2">
      <c r="A275" s="223" t="s">
        <v>552</v>
      </c>
      <c r="B275" s="224">
        <f>Røntgenrør!P34</f>
        <v>200</v>
      </c>
    </row>
    <row r="276" spans="1:2" x14ac:dyDescent="0.2">
      <c r="A276" s="223" t="s">
        <v>553</v>
      </c>
      <c r="B276" s="224">
        <f>Røntgenrør!Q34</f>
        <v>50</v>
      </c>
    </row>
    <row r="277" spans="1:2" x14ac:dyDescent="0.2">
      <c r="A277" s="223" t="s">
        <v>554</v>
      </c>
      <c r="B277" s="224">
        <f>Røntgenrør!R34</f>
        <v>10</v>
      </c>
    </row>
    <row r="278" spans="1:2" x14ac:dyDescent="0.2">
      <c r="A278" s="223" t="s">
        <v>555</v>
      </c>
      <c r="B278" s="225">
        <f>Røntgenrør!S34</f>
        <v>0</v>
      </c>
    </row>
    <row r="279" spans="1:2" x14ac:dyDescent="0.2">
      <c r="A279" s="223" t="s">
        <v>556</v>
      </c>
      <c r="B279">
        <f>Røntgenrør!T34</f>
        <v>0</v>
      </c>
    </row>
    <row r="280" spans="1:2" x14ac:dyDescent="0.2">
      <c r="A280" s="223" t="s">
        <v>557</v>
      </c>
      <c r="B280" s="225">
        <f>Røntgenrør!U34</f>
        <v>0</v>
      </c>
    </row>
    <row r="281" spans="1:2" x14ac:dyDescent="0.2">
      <c r="A281" s="223" t="s">
        <v>626</v>
      </c>
      <c r="B281" s="225">
        <f>Røntgenrør!V34</f>
        <v>0</v>
      </c>
    </row>
    <row r="282" spans="1:2" x14ac:dyDescent="0.2">
      <c r="A282" s="223" t="s">
        <v>159</v>
      </c>
      <c r="B282" s="224">
        <f>Røntgenrør!B10</f>
        <v>40</v>
      </c>
    </row>
    <row r="283" spans="1:2" x14ac:dyDescent="0.2">
      <c r="A283" s="223" t="s">
        <v>160</v>
      </c>
      <c r="B283" s="224">
        <f>Røntgenrør!C10</f>
        <v>100</v>
      </c>
    </row>
    <row r="284" spans="1:2" x14ac:dyDescent="0.2">
      <c r="A284" s="223" t="s">
        <v>161</v>
      </c>
      <c r="B284" s="224">
        <f>Røntgenrør!D10</f>
        <v>50</v>
      </c>
    </row>
    <row r="285" spans="1:2" x14ac:dyDescent="0.2">
      <c r="A285" s="223" t="s">
        <v>162</v>
      </c>
      <c r="B285" s="224">
        <f>Røntgenrør!E10</f>
        <v>5</v>
      </c>
    </row>
    <row r="286" spans="1:2" x14ac:dyDescent="0.2">
      <c r="A286" s="223" t="s">
        <v>163</v>
      </c>
      <c r="B286" s="225">
        <f>Røntgenrør!F10</f>
        <v>0</v>
      </c>
    </row>
    <row r="287" spans="1:2" x14ac:dyDescent="0.2">
      <c r="A287" s="223" t="s">
        <v>164</v>
      </c>
      <c r="B287">
        <f>Røntgenrør!G10</f>
        <v>0</v>
      </c>
    </row>
    <row r="288" spans="1:2" x14ac:dyDescent="0.2">
      <c r="A288" s="223" t="s">
        <v>165</v>
      </c>
      <c r="B288" s="225">
        <f>Røntgenrør!H10</f>
        <v>0</v>
      </c>
    </row>
    <row r="289" spans="1:2" x14ac:dyDescent="0.2">
      <c r="A289" s="223" t="s">
        <v>166</v>
      </c>
      <c r="B289" s="225">
        <f>Røntgenrør!I10</f>
        <v>0</v>
      </c>
    </row>
    <row r="290" spans="1:2" x14ac:dyDescent="0.2">
      <c r="A290" s="223" t="s">
        <v>167</v>
      </c>
      <c r="B290" s="224">
        <f>Røntgenrør!B11</f>
        <v>50</v>
      </c>
    </row>
    <row r="291" spans="1:2" x14ac:dyDescent="0.2">
      <c r="A291" s="223" t="s">
        <v>168</v>
      </c>
      <c r="B291" s="224">
        <f>Røntgenrør!C11</f>
        <v>100</v>
      </c>
    </row>
    <row r="292" spans="1:2" x14ac:dyDescent="0.2">
      <c r="A292" s="223" t="s">
        <v>169</v>
      </c>
      <c r="B292" s="224">
        <f>Røntgenrør!D11</f>
        <v>50</v>
      </c>
    </row>
    <row r="293" spans="1:2" x14ac:dyDescent="0.2">
      <c r="A293" s="223" t="s">
        <v>170</v>
      </c>
      <c r="B293" s="224">
        <f>Røntgenrør!E11</f>
        <v>5</v>
      </c>
    </row>
    <row r="294" spans="1:2" x14ac:dyDescent="0.2">
      <c r="A294" s="223" t="s">
        <v>171</v>
      </c>
      <c r="B294" s="225">
        <f>Røntgenrør!F11</f>
        <v>0</v>
      </c>
    </row>
    <row r="295" spans="1:2" x14ac:dyDescent="0.2">
      <c r="A295" s="223" t="s">
        <v>172</v>
      </c>
      <c r="B295">
        <f>Røntgenrør!G11</f>
        <v>0</v>
      </c>
    </row>
    <row r="296" spans="1:2" x14ac:dyDescent="0.2">
      <c r="A296" s="223" t="s">
        <v>173</v>
      </c>
      <c r="B296" s="225">
        <f>Røntgenrør!H11</f>
        <v>0</v>
      </c>
    </row>
    <row r="297" spans="1:2" x14ac:dyDescent="0.2">
      <c r="A297" s="223" t="s">
        <v>174</v>
      </c>
      <c r="B297" s="225">
        <f>Røntgenrør!I11</f>
        <v>0</v>
      </c>
    </row>
    <row r="298" spans="1:2" x14ac:dyDescent="0.2">
      <c r="A298" s="223" t="s">
        <v>175</v>
      </c>
      <c r="B298" s="224">
        <f>Røntgenrør!B12</f>
        <v>60</v>
      </c>
    </row>
    <row r="299" spans="1:2" x14ac:dyDescent="0.2">
      <c r="A299" s="223" t="s">
        <v>176</v>
      </c>
      <c r="B299" s="224">
        <f>Røntgenrør!C12</f>
        <v>100</v>
      </c>
    </row>
    <row r="300" spans="1:2" x14ac:dyDescent="0.2">
      <c r="A300" s="223" t="s">
        <v>177</v>
      </c>
      <c r="B300" s="224">
        <f>Røntgenrør!D12</f>
        <v>50</v>
      </c>
    </row>
    <row r="301" spans="1:2" x14ac:dyDescent="0.2">
      <c r="A301" s="223" t="s">
        <v>178</v>
      </c>
      <c r="B301" s="224">
        <f>Røntgenrør!E12</f>
        <v>5</v>
      </c>
    </row>
    <row r="302" spans="1:2" x14ac:dyDescent="0.2">
      <c r="A302" s="223" t="s">
        <v>179</v>
      </c>
      <c r="B302" s="225">
        <f>Røntgenrør!F12</f>
        <v>0</v>
      </c>
    </row>
    <row r="303" spans="1:2" x14ac:dyDescent="0.2">
      <c r="A303" s="223" t="s">
        <v>180</v>
      </c>
      <c r="B303">
        <f>Røntgenrør!G12</f>
        <v>0</v>
      </c>
    </row>
    <row r="304" spans="1:2" x14ac:dyDescent="0.2">
      <c r="A304" s="223" t="s">
        <v>181</v>
      </c>
      <c r="B304" s="225">
        <f>Røntgenrør!H12</f>
        <v>0</v>
      </c>
    </row>
    <row r="305" spans="1:2" x14ac:dyDescent="0.2">
      <c r="A305" s="223" t="s">
        <v>182</v>
      </c>
      <c r="B305" s="225">
        <f>Røntgenrør!I12</f>
        <v>0</v>
      </c>
    </row>
    <row r="306" spans="1:2" x14ac:dyDescent="0.2">
      <c r="A306" s="223" t="s">
        <v>183</v>
      </c>
      <c r="B306" s="224">
        <f>Røntgenrør!B13</f>
        <v>70</v>
      </c>
    </row>
    <row r="307" spans="1:2" x14ac:dyDescent="0.2">
      <c r="A307" s="223" t="s">
        <v>184</v>
      </c>
      <c r="B307" s="224">
        <f>Røntgenrør!C13</f>
        <v>100</v>
      </c>
    </row>
    <row r="308" spans="1:2" x14ac:dyDescent="0.2">
      <c r="A308" s="223" t="s">
        <v>185</v>
      </c>
      <c r="B308" s="224">
        <f>Røntgenrør!D13</f>
        <v>50</v>
      </c>
    </row>
    <row r="309" spans="1:2" x14ac:dyDescent="0.2">
      <c r="A309" s="223" t="s">
        <v>186</v>
      </c>
      <c r="B309" s="224">
        <f>Røntgenrør!E13</f>
        <v>5</v>
      </c>
    </row>
    <row r="310" spans="1:2" x14ac:dyDescent="0.2">
      <c r="A310" s="223" t="s">
        <v>187</v>
      </c>
      <c r="B310" s="225">
        <f>Røntgenrør!F13</f>
        <v>0</v>
      </c>
    </row>
    <row r="311" spans="1:2" x14ac:dyDescent="0.2">
      <c r="A311" s="223" t="s">
        <v>188</v>
      </c>
      <c r="B311">
        <f>Røntgenrør!G13</f>
        <v>0</v>
      </c>
    </row>
    <row r="312" spans="1:2" x14ac:dyDescent="0.2">
      <c r="A312" s="223" t="s">
        <v>189</v>
      </c>
      <c r="B312" s="225">
        <f>Røntgenrør!H13</f>
        <v>0</v>
      </c>
    </row>
    <row r="313" spans="1:2" x14ac:dyDescent="0.2">
      <c r="A313" s="223" t="s">
        <v>190</v>
      </c>
      <c r="B313" s="225">
        <f>Røntgenrør!I13</f>
        <v>0</v>
      </c>
    </row>
    <row r="314" spans="1:2" x14ac:dyDescent="0.2">
      <c r="A314" s="223" t="s">
        <v>191</v>
      </c>
      <c r="B314" s="224">
        <f>Røntgenrør!B14</f>
        <v>80</v>
      </c>
    </row>
    <row r="315" spans="1:2" x14ac:dyDescent="0.2">
      <c r="A315" s="223" t="s">
        <v>192</v>
      </c>
      <c r="B315" s="224">
        <f>Røntgenrør!C14</f>
        <v>100</v>
      </c>
    </row>
    <row r="316" spans="1:2" x14ac:dyDescent="0.2">
      <c r="A316" s="223" t="s">
        <v>193</v>
      </c>
      <c r="B316" s="224">
        <f>Røntgenrør!D14</f>
        <v>50</v>
      </c>
    </row>
    <row r="317" spans="1:2" x14ac:dyDescent="0.2">
      <c r="A317" s="223" t="s">
        <v>194</v>
      </c>
      <c r="B317" s="224">
        <f>Røntgenrør!E14</f>
        <v>5</v>
      </c>
    </row>
    <row r="318" spans="1:2" x14ac:dyDescent="0.2">
      <c r="A318" s="223" t="s">
        <v>195</v>
      </c>
      <c r="B318" s="225">
        <f>Røntgenrør!F14</f>
        <v>0</v>
      </c>
    </row>
    <row r="319" spans="1:2" x14ac:dyDescent="0.2">
      <c r="A319" s="223" t="s">
        <v>196</v>
      </c>
      <c r="B319">
        <f>Røntgenrør!G14</f>
        <v>0</v>
      </c>
    </row>
    <row r="320" spans="1:2" x14ac:dyDescent="0.2">
      <c r="A320" s="223" t="s">
        <v>197</v>
      </c>
      <c r="B320" s="225">
        <f>Røntgenrør!H14</f>
        <v>0</v>
      </c>
    </row>
    <row r="321" spans="1:2" x14ac:dyDescent="0.2">
      <c r="A321" s="223" t="s">
        <v>198</v>
      </c>
      <c r="B321" s="225">
        <f>Røntgenrør!I14</f>
        <v>0</v>
      </c>
    </row>
    <row r="322" spans="1:2" x14ac:dyDescent="0.2">
      <c r="A322" s="223" t="s">
        <v>199</v>
      </c>
      <c r="B322" s="224">
        <f>Røntgenrør!B15</f>
        <v>80</v>
      </c>
    </row>
    <row r="323" spans="1:2" x14ac:dyDescent="0.2">
      <c r="A323" s="223" t="s">
        <v>200</v>
      </c>
      <c r="B323" s="224">
        <f>Røntgenrør!C15</f>
        <v>100</v>
      </c>
    </row>
    <row r="324" spans="1:2" x14ac:dyDescent="0.2">
      <c r="A324" s="223" t="s">
        <v>201</v>
      </c>
      <c r="B324" s="224">
        <f>Røntgenrør!D15</f>
        <v>50</v>
      </c>
    </row>
    <row r="325" spans="1:2" x14ac:dyDescent="0.2">
      <c r="A325" s="223" t="s">
        <v>202</v>
      </c>
      <c r="B325" s="224">
        <f>Røntgenrør!E15</f>
        <v>5</v>
      </c>
    </row>
    <row r="326" spans="1:2" x14ac:dyDescent="0.2">
      <c r="A326" s="223" t="s">
        <v>203</v>
      </c>
      <c r="B326" s="225">
        <f>Røntgenrør!F15</f>
        <v>0</v>
      </c>
    </row>
    <row r="327" spans="1:2" x14ac:dyDescent="0.2">
      <c r="A327" s="223" t="s">
        <v>204</v>
      </c>
      <c r="B327">
        <f>Røntgenrør!G15</f>
        <v>0</v>
      </c>
    </row>
    <row r="328" spans="1:2" x14ac:dyDescent="0.2">
      <c r="A328" s="223" t="s">
        <v>205</v>
      </c>
      <c r="B328" s="225">
        <f>Røntgenrør!H15</f>
        <v>0</v>
      </c>
    </row>
    <row r="329" spans="1:2" x14ac:dyDescent="0.2">
      <c r="A329" s="223" t="s">
        <v>206</v>
      </c>
      <c r="B329" s="225">
        <f>Røntgenrør!I15</f>
        <v>0</v>
      </c>
    </row>
    <row r="330" spans="1:2" x14ac:dyDescent="0.2">
      <c r="A330" s="223" t="s">
        <v>207</v>
      </c>
      <c r="B330" s="224">
        <f>Røntgenrør!B16</f>
        <v>80</v>
      </c>
    </row>
    <row r="331" spans="1:2" x14ac:dyDescent="0.2">
      <c r="A331" s="223" t="s">
        <v>208</v>
      </c>
      <c r="B331" s="224">
        <f>Røntgenrør!C16</f>
        <v>100</v>
      </c>
    </row>
    <row r="332" spans="1:2" x14ac:dyDescent="0.2">
      <c r="A332" s="223" t="s">
        <v>209</v>
      </c>
      <c r="B332" s="224">
        <f>Røntgenrør!D16</f>
        <v>50</v>
      </c>
    </row>
    <row r="333" spans="1:2" x14ac:dyDescent="0.2">
      <c r="A333" s="223" t="s">
        <v>210</v>
      </c>
      <c r="B333" s="224">
        <f>Røntgenrør!E16</f>
        <v>5</v>
      </c>
    </row>
    <row r="334" spans="1:2" x14ac:dyDescent="0.2">
      <c r="A334" s="223" t="s">
        <v>211</v>
      </c>
      <c r="B334" s="225">
        <f>Røntgenrør!F16</f>
        <v>0</v>
      </c>
    </row>
    <row r="335" spans="1:2" x14ac:dyDescent="0.2">
      <c r="A335" s="223" t="s">
        <v>212</v>
      </c>
      <c r="B335">
        <f>Røntgenrør!G16</f>
        <v>0</v>
      </c>
    </row>
    <row r="336" spans="1:2" x14ac:dyDescent="0.2">
      <c r="A336" s="223" t="s">
        <v>213</v>
      </c>
      <c r="B336" s="225">
        <f>Røntgenrør!H16</f>
        <v>0</v>
      </c>
    </row>
    <row r="337" spans="1:2" x14ac:dyDescent="0.2">
      <c r="A337" s="223" t="s">
        <v>214</v>
      </c>
      <c r="B337" s="225">
        <f>Røntgenrør!I16</f>
        <v>0</v>
      </c>
    </row>
    <row r="338" spans="1:2" x14ac:dyDescent="0.2">
      <c r="A338" s="223" t="s">
        <v>215</v>
      </c>
      <c r="B338" s="224">
        <f>Røntgenrør!B17</f>
        <v>80</v>
      </c>
    </row>
    <row r="339" spans="1:2" x14ac:dyDescent="0.2">
      <c r="A339" s="223" t="s">
        <v>216</v>
      </c>
      <c r="B339" s="224">
        <f>Røntgenrør!C17</f>
        <v>100</v>
      </c>
    </row>
    <row r="340" spans="1:2" x14ac:dyDescent="0.2">
      <c r="A340" s="223" t="s">
        <v>217</v>
      </c>
      <c r="B340" s="224">
        <f>Røntgenrør!D17</f>
        <v>50</v>
      </c>
    </row>
    <row r="341" spans="1:2" x14ac:dyDescent="0.2">
      <c r="A341" s="223" t="s">
        <v>218</v>
      </c>
      <c r="B341" s="224">
        <f>Røntgenrør!E17</f>
        <v>5</v>
      </c>
    </row>
    <row r="342" spans="1:2" x14ac:dyDescent="0.2">
      <c r="A342" s="223" t="s">
        <v>219</v>
      </c>
      <c r="B342" s="225">
        <f>Røntgenrør!F17</f>
        <v>0</v>
      </c>
    </row>
    <row r="343" spans="1:2" x14ac:dyDescent="0.2">
      <c r="A343" s="223" t="s">
        <v>220</v>
      </c>
      <c r="B343">
        <f>Røntgenrør!G17</f>
        <v>0</v>
      </c>
    </row>
    <row r="344" spans="1:2" x14ac:dyDescent="0.2">
      <c r="A344" s="223" t="s">
        <v>221</v>
      </c>
      <c r="B344" s="225">
        <f>Røntgenrør!H17</f>
        <v>0</v>
      </c>
    </row>
    <row r="345" spans="1:2" x14ac:dyDescent="0.2">
      <c r="A345" s="223" t="s">
        <v>222</v>
      </c>
      <c r="B345" s="225">
        <f>Røntgenrør!I17</f>
        <v>0</v>
      </c>
    </row>
    <row r="346" spans="1:2" x14ac:dyDescent="0.2">
      <c r="A346" s="223" t="s">
        <v>223</v>
      </c>
      <c r="B346" s="224">
        <f>Røntgenrør!B18</f>
        <v>80</v>
      </c>
    </row>
    <row r="347" spans="1:2" x14ac:dyDescent="0.2">
      <c r="A347" s="223" t="s">
        <v>224</v>
      </c>
      <c r="B347" s="224">
        <f>Røntgenrør!C18</f>
        <v>100</v>
      </c>
    </row>
    <row r="348" spans="1:2" x14ac:dyDescent="0.2">
      <c r="A348" s="223" t="s">
        <v>225</v>
      </c>
      <c r="B348" s="224">
        <f>Røntgenrør!D18</f>
        <v>50</v>
      </c>
    </row>
    <row r="349" spans="1:2" x14ac:dyDescent="0.2">
      <c r="A349" s="223" t="s">
        <v>226</v>
      </c>
      <c r="B349" s="224">
        <f>Røntgenrør!E18</f>
        <v>5</v>
      </c>
    </row>
    <row r="350" spans="1:2" x14ac:dyDescent="0.2">
      <c r="A350" s="223" t="s">
        <v>227</v>
      </c>
      <c r="B350" s="225">
        <f>Røntgenrør!F18</f>
        <v>0</v>
      </c>
    </row>
    <row r="351" spans="1:2" x14ac:dyDescent="0.2">
      <c r="A351" s="223" t="s">
        <v>228</v>
      </c>
      <c r="B351">
        <f>Røntgenrør!G18</f>
        <v>0</v>
      </c>
    </row>
    <row r="352" spans="1:2" x14ac:dyDescent="0.2">
      <c r="A352" s="223" t="s">
        <v>229</v>
      </c>
      <c r="B352" s="225">
        <f>Røntgenrør!H18</f>
        <v>0</v>
      </c>
    </row>
    <row r="353" spans="1:2" x14ac:dyDescent="0.2">
      <c r="A353" s="223" t="s">
        <v>230</v>
      </c>
      <c r="B353" s="225">
        <f>Røntgenrør!I18</f>
        <v>0</v>
      </c>
    </row>
    <row r="354" spans="1:2" x14ac:dyDescent="0.2">
      <c r="A354" s="223" t="s">
        <v>231</v>
      </c>
      <c r="B354" s="224">
        <f>Røntgenrør!B19</f>
        <v>80</v>
      </c>
    </row>
    <row r="355" spans="1:2" x14ac:dyDescent="0.2">
      <c r="A355" s="223" t="s">
        <v>232</v>
      </c>
      <c r="B355" s="224">
        <f>Røntgenrør!C19</f>
        <v>100</v>
      </c>
    </row>
    <row r="356" spans="1:2" x14ac:dyDescent="0.2">
      <c r="A356" s="223" t="s">
        <v>233</v>
      </c>
      <c r="B356" s="224">
        <f>Røntgenrør!D19</f>
        <v>50</v>
      </c>
    </row>
    <row r="357" spans="1:2" x14ac:dyDescent="0.2">
      <c r="A357" s="223" t="s">
        <v>234</v>
      </c>
      <c r="B357" s="224">
        <f>Røntgenrør!E19</f>
        <v>5</v>
      </c>
    </row>
    <row r="358" spans="1:2" x14ac:dyDescent="0.2">
      <c r="A358" s="223" t="s">
        <v>235</v>
      </c>
      <c r="B358" s="225">
        <f>Røntgenrør!F19</f>
        <v>0</v>
      </c>
    </row>
    <row r="359" spans="1:2" x14ac:dyDescent="0.2">
      <c r="A359" s="223" t="s">
        <v>236</v>
      </c>
      <c r="B359">
        <f>Røntgenrør!G19</f>
        <v>0</v>
      </c>
    </row>
    <row r="360" spans="1:2" x14ac:dyDescent="0.2">
      <c r="A360" s="223" t="s">
        <v>237</v>
      </c>
      <c r="B360" s="225">
        <f>Røntgenrør!H19</f>
        <v>0</v>
      </c>
    </row>
    <row r="361" spans="1:2" x14ac:dyDescent="0.2">
      <c r="A361" s="223" t="s">
        <v>238</v>
      </c>
      <c r="B361" s="225">
        <f>Røntgenrør!I19</f>
        <v>0</v>
      </c>
    </row>
    <row r="362" spans="1:2" x14ac:dyDescent="0.2">
      <c r="A362" s="223" t="s">
        <v>239</v>
      </c>
      <c r="B362" s="224">
        <f>Røntgenrør!B20</f>
        <v>80</v>
      </c>
    </row>
    <row r="363" spans="1:2" x14ac:dyDescent="0.2">
      <c r="A363" s="223" t="s">
        <v>240</v>
      </c>
      <c r="B363" s="224">
        <f>Røntgenrør!C20</f>
        <v>100</v>
      </c>
    </row>
    <row r="364" spans="1:2" x14ac:dyDescent="0.2">
      <c r="A364" s="223" t="s">
        <v>241</v>
      </c>
      <c r="B364" s="224">
        <f>Røntgenrør!D20</f>
        <v>50</v>
      </c>
    </row>
    <row r="365" spans="1:2" x14ac:dyDescent="0.2">
      <c r="A365" s="223" t="s">
        <v>242</v>
      </c>
      <c r="B365" s="224">
        <f>Røntgenrør!E20</f>
        <v>5</v>
      </c>
    </row>
    <row r="366" spans="1:2" x14ac:dyDescent="0.2">
      <c r="A366" s="223" t="s">
        <v>243</v>
      </c>
      <c r="B366" s="225">
        <f>Røntgenrør!F20</f>
        <v>0</v>
      </c>
    </row>
    <row r="367" spans="1:2" x14ac:dyDescent="0.2">
      <c r="A367" s="223" t="s">
        <v>244</v>
      </c>
      <c r="B367">
        <f>Røntgenrør!G20</f>
        <v>0</v>
      </c>
    </row>
    <row r="368" spans="1:2" x14ac:dyDescent="0.2">
      <c r="A368" s="223" t="s">
        <v>245</v>
      </c>
      <c r="B368" s="225">
        <f>Røntgenrør!H20</f>
        <v>0</v>
      </c>
    </row>
    <row r="369" spans="1:2" x14ac:dyDescent="0.2">
      <c r="A369" s="223" t="s">
        <v>246</v>
      </c>
      <c r="B369" s="225">
        <f>Røntgenrør!I20</f>
        <v>0</v>
      </c>
    </row>
    <row r="370" spans="1:2" x14ac:dyDescent="0.2">
      <c r="A370" s="223" t="s">
        <v>247</v>
      </c>
      <c r="B370" s="224">
        <f>Røntgenrør!B21</f>
        <v>80</v>
      </c>
    </row>
    <row r="371" spans="1:2" x14ac:dyDescent="0.2">
      <c r="A371" s="223" t="s">
        <v>248</v>
      </c>
      <c r="B371" s="224">
        <f>Røntgenrør!C21</f>
        <v>100</v>
      </c>
    </row>
    <row r="372" spans="1:2" x14ac:dyDescent="0.2">
      <c r="A372" s="223" t="s">
        <v>249</v>
      </c>
      <c r="B372" s="224">
        <f>Røntgenrør!D21</f>
        <v>50</v>
      </c>
    </row>
    <row r="373" spans="1:2" x14ac:dyDescent="0.2">
      <c r="A373" s="223" t="s">
        <v>250</v>
      </c>
      <c r="B373" s="224">
        <f>Røntgenrør!E21</f>
        <v>5</v>
      </c>
    </row>
    <row r="374" spans="1:2" x14ac:dyDescent="0.2">
      <c r="A374" s="223" t="s">
        <v>251</v>
      </c>
      <c r="B374" s="225">
        <f>Røntgenrør!F21</f>
        <v>0</v>
      </c>
    </row>
    <row r="375" spans="1:2" x14ac:dyDescent="0.2">
      <c r="A375" s="223" t="s">
        <v>252</v>
      </c>
      <c r="B375">
        <f>Røntgenrør!G21</f>
        <v>0</v>
      </c>
    </row>
    <row r="376" spans="1:2" x14ac:dyDescent="0.2">
      <c r="A376" s="223" t="s">
        <v>253</v>
      </c>
      <c r="B376" s="225">
        <f>Røntgenrør!H21</f>
        <v>0</v>
      </c>
    </row>
    <row r="377" spans="1:2" x14ac:dyDescent="0.2">
      <c r="A377" s="223" t="s">
        <v>254</v>
      </c>
      <c r="B377" s="225">
        <f>Røntgenrør!I21</f>
        <v>0</v>
      </c>
    </row>
    <row r="378" spans="1:2" x14ac:dyDescent="0.2">
      <c r="A378" s="223" t="s">
        <v>255</v>
      </c>
      <c r="B378" s="224">
        <f>Røntgenrør!B22</f>
        <v>90</v>
      </c>
    </row>
    <row r="379" spans="1:2" x14ac:dyDescent="0.2">
      <c r="A379" s="223" t="s">
        <v>256</v>
      </c>
      <c r="B379" s="224">
        <f>Røntgenrør!C22</f>
        <v>100</v>
      </c>
    </row>
    <row r="380" spans="1:2" x14ac:dyDescent="0.2">
      <c r="A380" s="223" t="s">
        <v>257</v>
      </c>
      <c r="B380" s="224">
        <f>Røntgenrør!D22</f>
        <v>50</v>
      </c>
    </row>
    <row r="381" spans="1:2" x14ac:dyDescent="0.2">
      <c r="A381" s="223" t="s">
        <v>258</v>
      </c>
      <c r="B381" s="224">
        <f>Røntgenrør!E22</f>
        <v>5</v>
      </c>
    </row>
    <row r="382" spans="1:2" x14ac:dyDescent="0.2">
      <c r="A382" s="223" t="s">
        <v>259</v>
      </c>
      <c r="B382" s="225">
        <f>Røntgenrør!F22</f>
        <v>0</v>
      </c>
    </row>
    <row r="383" spans="1:2" x14ac:dyDescent="0.2">
      <c r="A383" s="223" t="s">
        <v>260</v>
      </c>
      <c r="B383">
        <f>Røntgenrør!G22</f>
        <v>0</v>
      </c>
    </row>
    <row r="384" spans="1:2" x14ac:dyDescent="0.2">
      <c r="A384" s="223" t="s">
        <v>261</v>
      </c>
      <c r="B384" s="225">
        <f>Røntgenrør!H22</f>
        <v>0</v>
      </c>
    </row>
    <row r="385" spans="1:2" x14ac:dyDescent="0.2">
      <c r="A385" s="223" t="s">
        <v>262</v>
      </c>
      <c r="B385" s="225">
        <f>Røntgenrør!I22</f>
        <v>0</v>
      </c>
    </row>
    <row r="386" spans="1:2" x14ac:dyDescent="0.2">
      <c r="A386" s="223" t="s">
        <v>263</v>
      </c>
      <c r="B386" s="224">
        <f>Røntgenrør!B23</f>
        <v>110</v>
      </c>
    </row>
    <row r="387" spans="1:2" x14ac:dyDescent="0.2">
      <c r="A387" s="223" t="s">
        <v>264</v>
      </c>
      <c r="B387" s="224">
        <f>Røntgenrør!C23</f>
        <v>100</v>
      </c>
    </row>
    <row r="388" spans="1:2" x14ac:dyDescent="0.2">
      <c r="A388" s="223" t="s">
        <v>265</v>
      </c>
      <c r="B388" s="224">
        <f>Røntgenrør!D23</f>
        <v>50</v>
      </c>
    </row>
    <row r="389" spans="1:2" x14ac:dyDescent="0.2">
      <c r="A389" s="223" t="s">
        <v>266</v>
      </c>
      <c r="B389" s="224">
        <f>Røntgenrør!E23</f>
        <v>5</v>
      </c>
    </row>
    <row r="390" spans="1:2" x14ac:dyDescent="0.2">
      <c r="A390" s="223" t="s">
        <v>267</v>
      </c>
      <c r="B390" s="225">
        <f>Røntgenrør!F23</f>
        <v>0</v>
      </c>
    </row>
    <row r="391" spans="1:2" x14ac:dyDescent="0.2">
      <c r="A391" s="223" t="s">
        <v>268</v>
      </c>
      <c r="B391">
        <f>Røntgenrør!G23</f>
        <v>0</v>
      </c>
    </row>
    <row r="392" spans="1:2" x14ac:dyDescent="0.2">
      <c r="A392" s="223" t="s">
        <v>269</v>
      </c>
      <c r="B392" s="225">
        <f>Røntgenrør!H23</f>
        <v>0</v>
      </c>
    </row>
    <row r="393" spans="1:2" x14ac:dyDescent="0.2">
      <c r="A393" s="223" t="s">
        <v>270</v>
      </c>
      <c r="B393" s="225">
        <f>Røntgenrør!I23</f>
        <v>0</v>
      </c>
    </row>
    <row r="394" spans="1:2" x14ac:dyDescent="0.2">
      <c r="A394" s="223" t="s">
        <v>271</v>
      </c>
      <c r="B394" s="224">
        <f>Røntgenrør!B24</f>
        <v>125</v>
      </c>
    </row>
    <row r="395" spans="1:2" x14ac:dyDescent="0.2">
      <c r="A395" s="223" t="s">
        <v>272</v>
      </c>
      <c r="B395" s="224">
        <f>Røntgenrør!C24</f>
        <v>100</v>
      </c>
    </row>
    <row r="396" spans="1:2" x14ac:dyDescent="0.2">
      <c r="A396" s="223" t="s">
        <v>273</v>
      </c>
      <c r="B396" s="224">
        <f>Røntgenrør!D24</f>
        <v>50</v>
      </c>
    </row>
    <row r="397" spans="1:2" x14ac:dyDescent="0.2">
      <c r="A397" s="223" t="s">
        <v>274</v>
      </c>
      <c r="B397" s="224">
        <f>Røntgenrør!E24</f>
        <v>5</v>
      </c>
    </row>
    <row r="398" spans="1:2" x14ac:dyDescent="0.2">
      <c r="A398" s="223" t="s">
        <v>275</v>
      </c>
      <c r="B398" s="225">
        <f>Røntgenrør!F24</f>
        <v>0</v>
      </c>
    </row>
    <row r="399" spans="1:2" x14ac:dyDescent="0.2">
      <c r="A399" s="223" t="s">
        <v>276</v>
      </c>
      <c r="B399">
        <f>Røntgenrør!G24</f>
        <v>0</v>
      </c>
    </row>
    <row r="400" spans="1:2" x14ac:dyDescent="0.2">
      <c r="A400" s="223" t="s">
        <v>277</v>
      </c>
      <c r="B400" s="225">
        <f>Røntgenrør!H24</f>
        <v>0</v>
      </c>
    </row>
    <row r="401" spans="1:2" x14ac:dyDescent="0.2">
      <c r="A401" s="223" t="s">
        <v>278</v>
      </c>
      <c r="B401" s="225">
        <f>Røntgenrør!I24</f>
        <v>0</v>
      </c>
    </row>
    <row r="402" spans="1:2" x14ac:dyDescent="0.2">
      <c r="A402" s="223" t="s">
        <v>279</v>
      </c>
      <c r="B402" s="224">
        <f>Røntgenrør!B25</f>
        <v>150</v>
      </c>
    </row>
    <row r="403" spans="1:2" x14ac:dyDescent="0.2">
      <c r="A403" s="223" t="s">
        <v>280</v>
      </c>
      <c r="B403" s="224">
        <f>Røntgenrør!C25</f>
        <v>100</v>
      </c>
    </row>
    <row r="404" spans="1:2" x14ac:dyDescent="0.2">
      <c r="A404" s="223" t="s">
        <v>281</v>
      </c>
      <c r="B404" s="224">
        <f>Røntgenrør!D25</f>
        <v>50</v>
      </c>
    </row>
    <row r="405" spans="1:2" x14ac:dyDescent="0.2">
      <c r="A405" s="223" t="s">
        <v>282</v>
      </c>
      <c r="B405" s="224">
        <f>Røntgenrør!E25</f>
        <v>5</v>
      </c>
    </row>
    <row r="406" spans="1:2" x14ac:dyDescent="0.2">
      <c r="A406" s="223" t="s">
        <v>283</v>
      </c>
      <c r="B406" s="225">
        <f>Røntgenrør!F25</f>
        <v>0</v>
      </c>
    </row>
    <row r="407" spans="1:2" x14ac:dyDescent="0.2">
      <c r="A407" s="223" t="s">
        <v>284</v>
      </c>
      <c r="B407">
        <f>Røntgenrør!G25</f>
        <v>0</v>
      </c>
    </row>
    <row r="408" spans="1:2" x14ac:dyDescent="0.2">
      <c r="A408" s="223" t="s">
        <v>285</v>
      </c>
      <c r="B408" s="225">
        <f>Røntgenrør!H25</f>
        <v>0</v>
      </c>
    </row>
    <row r="409" spans="1:2" x14ac:dyDescent="0.2">
      <c r="A409" s="223" t="s">
        <v>286</v>
      </c>
      <c r="B409" s="225">
        <f>Røntgenrør!I25</f>
        <v>0</v>
      </c>
    </row>
    <row r="410" spans="1:2" x14ac:dyDescent="0.2">
      <c r="A410" s="223" t="s">
        <v>287</v>
      </c>
      <c r="B410" s="224">
        <f>Røntgenrør!B26</f>
        <v>80</v>
      </c>
    </row>
    <row r="411" spans="1:2" x14ac:dyDescent="0.2">
      <c r="A411" s="223" t="s">
        <v>288</v>
      </c>
      <c r="B411" s="224">
        <f>Røntgenrør!C26</f>
        <v>200</v>
      </c>
    </row>
    <row r="412" spans="1:2" x14ac:dyDescent="0.2">
      <c r="A412" s="223" t="s">
        <v>289</v>
      </c>
      <c r="B412" s="224">
        <f>Røntgenrør!D26</f>
        <v>400</v>
      </c>
    </row>
    <row r="413" spans="1:2" x14ac:dyDescent="0.2">
      <c r="A413" s="223" t="s">
        <v>290</v>
      </c>
      <c r="B413" s="224">
        <f>Røntgenrør!E26</f>
        <v>80</v>
      </c>
    </row>
    <row r="414" spans="1:2" x14ac:dyDescent="0.2">
      <c r="A414" s="223" t="s">
        <v>291</v>
      </c>
      <c r="B414" s="225">
        <f>Røntgenrør!F26</f>
        <v>0</v>
      </c>
    </row>
    <row r="415" spans="1:2" x14ac:dyDescent="0.2">
      <c r="A415" s="223" t="s">
        <v>292</v>
      </c>
      <c r="B415">
        <f>Røntgenrør!G26</f>
        <v>0</v>
      </c>
    </row>
    <row r="416" spans="1:2" x14ac:dyDescent="0.2">
      <c r="A416" s="223" t="s">
        <v>293</v>
      </c>
      <c r="B416" s="225">
        <f>Røntgenrør!H26</f>
        <v>0</v>
      </c>
    </row>
    <row r="417" spans="1:2" x14ac:dyDescent="0.2">
      <c r="A417" s="223" t="s">
        <v>294</v>
      </c>
      <c r="B417" s="225">
        <f>Røntgenrør!I26</f>
        <v>0</v>
      </c>
    </row>
    <row r="418" spans="1:2" x14ac:dyDescent="0.2">
      <c r="A418" s="223" t="s">
        <v>295</v>
      </c>
      <c r="B418" s="224">
        <f>Røntgenrør!B27</f>
        <v>80</v>
      </c>
    </row>
    <row r="419" spans="1:2" x14ac:dyDescent="0.2">
      <c r="A419" s="223" t="s">
        <v>296</v>
      </c>
      <c r="B419" s="224">
        <f>Røntgenrør!C27</f>
        <v>200</v>
      </c>
    </row>
    <row r="420" spans="1:2" x14ac:dyDescent="0.2">
      <c r="A420" s="223" t="s">
        <v>297</v>
      </c>
      <c r="B420" s="224">
        <f>Røntgenrør!D27</f>
        <v>200</v>
      </c>
    </row>
    <row r="421" spans="1:2" x14ac:dyDescent="0.2">
      <c r="A421" s="223" t="s">
        <v>298</v>
      </c>
      <c r="B421" s="224">
        <f>Røntgenrør!E27</f>
        <v>40</v>
      </c>
    </row>
    <row r="422" spans="1:2" x14ac:dyDescent="0.2">
      <c r="A422" s="223" t="s">
        <v>299</v>
      </c>
      <c r="B422" s="225">
        <f>Røntgenrør!F27</f>
        <v>0</v>
      </c>
    </row>
    <row r="423" spans="1:2" x14ac:dyDescent="0.2">
      <c r="A423" s="223" t="s">
        <v>300</v>
      </c>
      <c r="B423">
        <f>Røntgenrør!G27</f>
        <v>0</v>
      </c>
    </row>
    <row r="424" spans="1:2" x14ac:dyDescent="0.2">
      <c r="A424" s="223" t="s">
        <v>301</v>
      </c>
      <c r="B424" s="225">
        <f>Røntgenrør!H27</f>
        <v>0</v>
      </c>
    </row>
    <row r="425" spans="1:2" x14ac:dyDescent="0.2">
      <c r="A425" s="223" t="s">
        <v>302</v>
      </c>
      <c r="B425" s="225">
        <f>Røntgenrør!I27</f>
        <v>0</v>
      </c>
    </row>
    <row r="426" spans="1:2" x14ac:dyDescent="0.2">
      <c r="A426" s="223" t="s">
        <v>303</v>
      </c>
      <c r="B426" s="224">
        <f>Røntgenrør!B28</f>
        <v>80</v>
      </c>
    </row>
    <row r="427" spans="1:2" x14ac:dyDescent="0.2">
      <c r="A427" s="223" t="s">
        <v>304</v>
      </c>
      <c r="B427" s="224">
        <f>Røntgenrør!C28</f>
        <v>200</v>
      </c>
    </row>
    <row r="428" spans="1:2" x14ac:dyDescent="0.2">
      <c r="A428" s="223" t="s">
        <v>305</v>
      </c>
      <c r="B428" s="224">
        <f>Røntgenrør!D28</f>
        <v>100</v>
      </c>
    </row>
    <row r="429" spans="1:2" x14ac:dyDescent="0.2">
      <c r="A429" s="223" t="s">
        <v>306</v>
      </c>
      <c r="B429" s="224">
        <f>Røntgenrør!E28</f>
        <v>20</v>
      </c>
    </row>
    <row r="430" spans="1:2" x14ac:dyDescent="0.2">
      <c r="A430" s="223" t="s">
        <v>307</v>
      </c>
      <c r="B430" s="225">
        <f>Røntgenrør!F28</f>
        <v>0</v>
      </c>
    </row>
    <row r="431" spans="1:2" x14ac:dyDescent="0.2">
      <c r="A431" s="223" t="s">
        <v>308</v>
      </c>
      <c r="B431">
        <f>Røntgenrør!G28</f>
        <v>0</v>
      </c>
    </row>
    <row r="432" spans="1:2" x14ac:dyDescent="0.2">
      <c r="A432" s="223" t="s">
        <v>309</v>
      </c>
      <c r="B432" s="225">
        <f>Røntgenrør!H28</f>
        <v>0</v>
      </c>
    </row>
    <row r="433" spans="1:2" x14ac:dyDescent="0.2">
      <c r="A433" s="223" t="s">
        <v>310</v>
      </c>
      <c r="B433" s="225">
        <f>Røntgenrør!I28</f>
        <v>0</v>
      </c>
    </row>
    <row r="434" spans="1:2" x14ac:dyDescent="0.2">
      <c r="A434" s="223" t="s">
        <v>311</v>
      </c>
      <c r="B434" s="224">
        <f>Røntgenrør!B29</f>
        <v>80</v>
      </c>
    </row>
    <row r="435" spans="1:2" x14ac:dyDescent="0.2">
      <c r="A435" s="223" t="s">
        <v>312</v>
      </c>
      <c r="B435" s="224">
        <f>Røntgenrør!C29</f>
        <v>200</v>
      </c>
    </row>
    <row r="436" spans="1:2" x14ac:dyDescent="0.2">
      <c r="A436" s="223" t="s">
        <v>313</v>
      </c>
      <c r="B436" s="224">
        <f>Røntgenrør!D29</f>
        <v>31.5</v>
      </c>
    </row>
    <row r="437" spans="1:2" x14ac:dyDescent="0.2">
      <c r="A437" s="223" t="s">
        <v>314</v>
      </c>
      <c r="B437" s="224">
        <f>Røntgenrør!E29</f>
        <v>6.3</v>
      </c>
    </row>
    <row r="438" spans="1:2" x14ac:dyDescent="0.2">
      <c r="A438" s="223" t="s">
        <v>315</v>
      </c>
      <c r="B438" s="225">
        <f>Røntgenrør!F29</f>
        <v>0</v>
      </c>
    </row>
    <row r="439" spans="1:2" x14ac:dyDescent="0.2">
      <c r="A439" s="223" t="s">
        <v>316</v>
      </c>
      <c r="B439">
        <f>Røntgenrør!G29</f>
        <v>0</v>
      </c>
    </row>
    <row r="440" spans="1:2" x14ac:dyDescent="0.2">
      <c r="A440" s="223" t="s">
        <v>317</v>
      </c>
      <c r="B440" s="225">
        <f>Røntgenrør!H29</f>
        <v>0</v>
      </c>
    </row>
    <row r="441" spans="1:2" x14ac:dyDescent="0.2">
      <c r="A441" s="223" t="s">
        <v>318</v>
      </c>
      <c r="B441" s="225">
        <f>Røntgenrør!I29</f>
        <v>0</v>
      </c>
    </row>
    <row r="442" spans="1:2" x14ac:dyDescent="0.2">
      <c r="A442" s="223" t="s">
        <v>319</v>
      </c>
      <c r="B442" s="224">
        <f>Røntgenrør!B30</f>
        <v>80</v>
      </c>
    </row>
    <row r="443" spans="1:2" x14ac:dyDescent="0.2">
      <c r="A443" s="223" t="s">
        <v>320</v>
      </c>
      <c r="B443" s="224">
        <f>Røntgenrør!C30</f>
        <v>200</v>
      </c>
    </row>
    <row r="444" spans="1:2" x14ac:dyDescent="0.2">
      <c r="A444" s="223" t="s">
        <v>321</v>
      </c>
      <c r="B444" s="224">
        <f>Røntgenrør!D30</f>
        <v>10</v>
      </c>
    </row>
    <row r="445" spans="1:2" x14ac:dyDescent="0.2">
      <c r="A445" s="223" t="s">
        <v>322</v>
      </c>
      <c r="B445" s="224">
        <f>Røntgenrør!E30</f>
        <v>2</v>
      </c>
    </row>
    <row r="446" spans="1:2" x14ac:dyDescent="0.2">
      <c r="A446" s="223" t="s">
        <v>323</v>
      </c>
      <c r="B446" s="225">
        <f>Røntgenrør!F30</f>
        <v>0</v>
      </c>
    </row>
    <row r="447" spans="1:2" x14ac:dyDescent="0.2">
      <c r="A447" s="223" t="s">
        <v>324</v>
      </c>
      <c r="B447">
        <f>Røntgenrør!G30</f>
        <v>0</v>
      </c>
    </row>
    <row r="448" spans="1:2" x14ac:dyDescent="0.2">
      <c r="A448" s="223" t="s">
        <v>325</v>
      </c>
      <c r="B448" s="225">
        <f>Røntgenrør!H30</f>
        <v>0</v>
      </c>
    </row>
    <row r="449" spans="1:2" x14ac:dyDescent="0.2">
      <c r="A449" s="223" t="s">
        <v>326</v>
      </c>
      <c r="B449" s="225">
        <f>Røntgenrør!I30</f>
        <v>0</v>
      </c>
    </row>
    <row r="450" spans="1:2" x14ac:dyDescent="0.2">
      <c r="A450" s="223" t="s">
        <v>327</v>
      </c>
      <c r="B450" s="224">
        <f>Røntgenrør!B31</f>
        <v>80</v>
      </c>
    </row>
    <row r="451" spans="1:2" x14ac:dyDescent="0.2">
      <c r="A451" s="223" t="s">
        <v>328</v>
      </c>
      <c r="B451" s="224">
        <f>Røntgenrør!C31</f>
        <v>160</v>
      </c>
    </row>
    <row r="452" spans="1:2" x14ac:dyDescent="0.2">
      <c r="A452" s="223" t="s">
        <v>329</v>
      </c>
      <c r="B452" s="224">
        <f>Røntgenrør!D31</f>
        <v>50</v>
      </c>
    </row>
    <row r="453" spans="1:2" x14ac:dyDescent="0.2">
      <c r="A453" s="223" t="s">
        <v>330</v>
      </c>
      <c r="B453" s="224">
        <f>Røntgenrør!E31</f>
        <v>8</v>
      </c>
    </row>
    <row r="454" spans="1:2" x14ac:dyDescent="0.2">
      <c r="A454" s="223" t="s">
        <v>331</v>
      </c>
      <c r="B454" s="225">
        <f>Røntgenrør!F31</f>
        <v>0</v>
      </c>
    </row>
    <row r="455" spans="1:2" x14ac:dyDescent="0.2">
      <c r="A455" s="223" t="s">
        <v>332</v>
      </c>
      <c r="B455">
        <f>Røntgenrør!G31</f>
        <v>0</v>
      </c>
    </row>
    <row r="456" spans="1:2" x14ac:dyDescent="0.2">
      <c r="A456" s="223" t="s">
        <v>333</v>
      </c>
      <c r="B456" s="225">
        <f>Røntgenrør!H31</f>
        <v>0</v>
      </c>
    </row>
    <row r="457" spans="1:2" x14ac:dyDescent="0.2">
      <c r="A457" s="223" t="s">
        <v>334</v>
      </c>
      <c r="B457" s="225">
        <f>Røntgenrør!I31</f>
        <v>0</v>
      </c>
    </row>
    <row r="458" spans="1:2" x14ac:dyDescent="0.2">
      <c r="A458" s="223" t="s">
        <v>335</v>
      </c>
      <c r="B458" s="224">
        <f>Røntgenrør!B32</f>
        <v>80</v>
      </c>
    </row>
    <row r="459" spans="1:2" x14ac:dyDescent="0.2">
      <c r="A459" s="223" t="s">
        <v>336</v>
      </c>
      <c r="B459" s="224">
        <f>Røntgenrør!C32</f>
        <v>250</v>
      </c>
    </row>
    <row r="460" spans="1:2" x14ac:dyDescent="0.2">
      <c r="A460" s="223" t="s">
        <v>337</v>
      </c>
      <c r="B460" s="224">
        <f>Røntgenrør!D32</f>
        <v>50</v>
      </c>
    </row>
    <row r="461" spans="1:2" x14ac:dyDescent="0.2">
      <c r="A461" s="223" t="s">
        <v>338</v>
      </c>
      <c r="B461" s="224">
        <f>Røntgenrør!E32</f>
        <v>12.5</v>
      </c>
    </row>
    <row r="462" spans="1:2" x14ac:dyDescent="0.2">
      <c r="A462" s="223" t="s">
        <v>339</v>
      </c>
      <c r="B462" s="225">
        <f>Røntgenrør!F32</f>
        <v>0</v>
      </c>
    </row>
    <row r="463" spans="1:2" x14ac:dyDescent="0.2">
      <c r="A463" s="223" t="s">
        <v>340</v>
      </c>
      <c r="B463">
        <f>Røntgenrør!G32</f>
        <v>0</v>
      </c>
    </row>
    <row r="464" spans="1:2" x14ac:dyDescent="0.2">
      <c r="A464" s="223" t="s">
        <v>341</v>
      </c>
      <c r="B464" s="225">
        <f>Røntgenrør!H32</f>
        <v>0</v>
      </c>
    </row>
    <row r="465" spans="1:2" x14ac:dyDescent="0.2">
      <c r="A465" s="223" t="s">
        <v>342</v>
      </c>
      <c r="B465" s="225">
        <f>Røntgenrør!I32</f>
        <v>0</v>
      </c>
    </row>
    <row r="466" spans="1:2" x14ac:dyDescent="0.2">
      <c r="A466" s="223" t="s">
        <v>343</v>
      </c>
      <c r="B466" s="224">
        <f>Røntgenrør!B33</f>
        <v>80</v>
      </c>
    </row>
    <row r="467" spans="1:2" x14ac:dyDescent="0.2">
      <c r="A467" s="223" t="s">
        <v>344</v>
      </c>
      <c r="B467" s="224">
        <f>Røntgenrør!C33</f>
        <v>320</v>
      </c>
    </row>
    <row r="468" spans="1:2" x14ac:dyDescent="0.2">
      <c r="A468" s="223" t="s">
        <v>345</v>
      </c>
      <c r="B468" s="224">
        <f>Røntgenrør!D33</f>
        <v>50</v>
      </c>
    </row>
    <row r="469" spans="1:2" x14ac:dyDescent="0.2">
      <c r="A469" s="223" t="s">
        <v>346</v>
      </c>
      <c r="B469" s="224">
        <f>Røntgenrør!E33</f>
        <v>16</v>
      </c>
    </row>
    <row r="470" spans="1:2" x14ac:dyDescent="0.2">
      <c r="A470" s="223" t="s">
        <v>347</v>
      </c>
      <c r="B470" s="225">
        <f>Røntgenrør!F33</f>
        <v>0</v>
      </c>
    </row>
    <row r="471" spans="1:2" x14ac:dyDescent="0.2">
      <c r="A471" s="223" t="s">
        <v>348</v>
      </c>
      <c r="B471">
        <f>Røntgenrør!G33</f>
        <v>0</v>
      </c>
    </row>
    <row r="472" spans="1:2" x14ac:dyDescent="0.2">
      <c r="A472" s="223" t="s">
        <v>349</v>
      </c>
      <c r="B472" s="225">
        <f>Røntgenrør!H33</f>
        <v>0</v>
      </c>
    </row>
    <row r="473" spans="1:2" x14ac:dyDescent="0.2">
      <c r="A473" s="223" t="s">
        <v>350</v>
      </c>
      <c r="B473" s="225">
        <f>Røntgenrør!I33</f>
        <v>0</v>
      </c>
    </row>
    <row r="474" spans="1:2" x14ac:dyDescent="0.2">
      <c r="A474" s="223" t="s">
        <v>351</v>
      </c>
      <c r="B474" s="224">
        <f>Røntgenrør!B34</f>
        <v>80</v>
      </c>
    </row>
    <row r="475" spans="1:2" x14ac:dyDescent="0.2">
      <c r="A475" s="223" t="s">
        <v>352</v>
      </c>
      <c r="B475" s="224">
        <f>Røntgenrør!C34</f>
        <v>400</v>
      </c>
    </row>
    <row r="476" spans="1:2" x14ac:dyDescent="0.2">
      <c r="A476" s="223" t="s">
        <v>353</v>
      </c>
      <c r="B476" s="224">
        <f>Røntgenrør!D34</f>
        <v>50</v>
      </c>
    </row>
    <row r="477" spans="1:2" x14ac:dyDescent="0.2">
      <c r="A477" s="223" t="s">
        <v>354</v>
      </c>
      <c r="B477" s="224">
        <f>Røntgenrør!E34</f>
        <v>20</v>
      </c>
    </row>
    <row r="478" spans="1:2" x14ac:dyDescent="0.2">
      <c r="A478" s="223" t="s">
        <v>355</v>
      </c>
      <c r="B478" s="225">
        <f>Røntgenrør!F34</f>
        <v>0</v>
      </c>
    </row>
    <row r="479" spans="1:2" x14ac:dyDescent="0.2">
      <c r="A479" s="223" t="s">
        <v>356</v>
      </c>
      <c r="B479">
        <f>Røntgenrør!G34</f>
        <v>0</v>
      </c>
    </row>
    <row r="480" spans="1:2" x14ac:dyDescent="0.2">
      <c r="A480" s="223" t="s">
        <v>357</v>
      </c>
      <c r="B480" s="225">
        <f>Røntgenrør!H34</f>
        <v>0</v>
      </c>
    </row>
    <row r="481" spans="1:2" x14ac:dyDescent="0.2">
      <c r="A481" s="223" t="s">
        <v>358</v>
      </c>
      <c r="B481" s="225">
        <f>Røntgenrør!I34</f>
        <v>0</v>
      </c>
    </row>
    <row r="482" spans="1:2" x14ac:dyDescent="0.2">
      <c r="A482" s="223" t="s">
        <v>1039</v>
      </c>
      <c r="B482" s="225">
        <f>Gjennomlysning!C10</f>
        <v>0</v>
      </c>
    </row>
    <row r="483" spans="1:2" x14ac:dyDescent="0.2">
      <c r="A483" s="223" t="s">
        <v>627</v>
      </c>
      <c r="B483">
        <f>Gjennomlysning!C4</f>
        <v>0</v>
      </c>
    </row>
    <row r="484" spans="1:2" x14ac:dyDescent="0.2">
      <c r="A484" s="223" t="s">
        <v>628</v>
      </c>
      <c r="B484">
        <f>Gjennomlysning!C5</f>
        <v>0</v>
      </c>
    </row>
    <row r="485" spans="1:2" x14ac:dyDescent="0.2">
      <c r="A485" s="223" t="s">
        <v>629</v>
      </c>
      <c r="B485">
        <f>Gjennomlysning!C7</f>
        <v>0</v>
      </c>
    </row>
    <row r="486" spans="1:2" x14ac:dyDescent="0.2">
      <c r="A486" s="223" t="s">
        <v>630</v>
      </c>
      <c r="B486" s="223">
        <f>Gjennomlysning!C8</f>
        <v>0</v>
      </c>
    </row>
    <row r="487" spans="1:2" x14ac:dyDescent="0.2">
      <c r="A487" s="223" t="s">
        <v>631</v>
      </c>
      <c r="B487">
        <f>Gjennomlysning!C9</f>
        <v>0</v>
      </c>
    </row>
    <row r="488" spans="1:2" x14ac:dyDescent="0.2">
      <c r="A488" s="223" t="s">
        <v>632</v>
      </c>
      <c r="B488" s="226">
        <f>Gjennomlysning!E15</f>
        <v>40</v>
      </c>
    </row>
    <row r="489" spans="1:2" x14ac:dyDescent="0.2">
      <c r="A489" s="223" t="s">
        <v>633</v>
      </c>
      <c r="B489" s="223">
        <f>Gjennomlysning!F15</f>
        <v>0</v>
      </c>
    </row>
    <row r="490" spans="1:2" x14ac:dyDescent="0.2">
      <c r="A490" s="223" t="s">
        <v>634</v>
      </c>
      <c r="B490" s="223">
        <f>Gjennomlysning!G15</f>
        <v>0</v>
      </c>
    </row>
    <row r="491" spans="1:2" x14ac:dyDescent="0.2">
      <c r="A491" s="223" t="s">
        <v>635</v>
      </c>
      <c r="B491" s="226">
        <f>Gjennomlysning!E16</f>
        <v>55.7</v>
      </c>
    </row>
    <row r="492" spans="1:2" x14ac:dyDescent="0.2">
      <c r="A492" s="223" t="s">
        <v>636</v>
      </c>
      <c r="B492" s="223">
        <f>Gjennomlysning!F16</f>
        <v>0</v>
      </c>
    </row>
    <row r="493" spans="1:2" x14ac:dyDescent="0.2">
      <c r="A493" s="223" t="s">
        <v>637</v>
      </c>
      <c r="B493" s="223">
        <f>Gjennomlysning!G16</f>
        <v>0</v>
      </c>
    </row>
    <row r="494" spans="1:2" x14ac:dyDescent="0.2">
      <c r="A494" s="223" t="s">
        <v>638</v>
      </c>
      <c r="B494" s="226">
        <f>Gjennomlysning!E17</f>
        <v>60</v>
      </c>
    </row>
    <row r="495" spans="1:2" x14ac:dyDescent="0.2">
      <c r="A495" s="223" t="s">
        <v>639</v>
      </c>
      <c r="B495" s="223">
        <f>Gjennomlysning!F17</f>
        <v>0</v>
      </c>
    </row>
    <row r="496" spans="1:2" x14ac:dyDescent="0.2">
      <c r="A496" s="223" t="s">
        <v>640</v>
      </c>
      <c r="B496" s="223">
        <f>Gjennomlysning!G17</f>
        <v>0</v>
      </c>
    </row>
    <row r="497" spans="1:2" x14ac:dyDescent="0.2">
      <c r="A497" s="223" t="s">
        <v>641</v>
      </c>
      <c r="B497" s="226">
        <f>Gjennomlysning!E18</f>
        <v>70</v>
      </c>
    </row>
    <row r="498" spans="1:2" x14ac:dyDescent="0.2">
      <c r="A498" s="223" t="s">
        <v>642</v>
      </c>
      <c r="B498" s="223">
        <f>Gjennomlysning!F18</f>
        <v>0</v>
      </c>
    </row>
    <row r="499" spans="1:2" x14ac:dyDescent="0.2">
      <c r="A499" s="223" t="s">
        <v>643</v>
      </c>
      <c r="B499" s="223">
        <f>Gjennomlysning!G18</f>
        <v>0</v>
      </c>
    </row>
    <row r="500" spans="1:2" x14ac:dyDescent="0.2">
      <c r="A500" s="223" t="s">
        <v>644</v>
      </c>
      <c r="B500" s="226">
        <f>Gjennomlysning!E19</f>
        <v>80</v>
      </c>
    </row>
    <row r="501" spans="1:2" x14ac:dyDescent="0.2">
      <c r="A501" s="223" t="s">
        <v>645</v>
      </c>
      <c r="B501" s="223">
        <f>Gjennomlysning!F19</f>
        <v>0</v>
      </c>
    </row>
    <row r="502" spans="1:2" x14ac:dyDescent="0.2">
      <c r="A502" s="223" t="s">
        <v>646</v>
      </c>
      <c r="B502" s="223">
        <f>Gjennomlysning!G19</f>
        <v>0</v>
      </c>
    </row>
    <row r="503" spans="1:2" x14ac:dyDescent="0.2">
      <c r="A503" s="223" t="s">
        <v>647</v>
      </c>
      <c r="B503" s="226">
        <f>Gjennomlysning!E20</f>
        <v>80</v>
      </c>
    </row>
    <row r="504" spans="1:2" x14ac:dyDescent="0.2">
      <c r="A504" s="223" t="s">
        <v>648</v>
      </c>
      <c r="B504" s="223">
        <f>Gjennomlysning!F20</f>
        <v>0</v>
      </c>
    </row>
    <row r="505" spans="1:2" x14ac:dyDescent="0.2">
      <c r="A505" s="223" t="s">
        <v>649</v>
      </c>
      <c r="B505" s="223">
        <f>Gjennomlysning!G20</f>
        <v>0</v>
      </c>
    </row>
    <row r="506" spans="1:2" x14ac:dyDescent="0.2">
      <c r="A506" s="223" t="s">
        <v>650</v>
      </c>
      <c r="B506" s="226">
        <f>Gjennomlysning!E21</f>
        <v>80</v>
      </c>
    </row>
    <row r="507" spans="1:2" x14ac:dyDescent="0.2">
      <c r="A507" s="223" t="s">
        <v>651</v>
      </c>
      <c r="B507" s="223">
        <f>Gjennomlysning!F21</f>
        <v>0</v>
      </c>
    </row>
    <row r="508" spans="1:2" x14ac:dyDescent="0.2">
      <c r="A508" s="223" t="s">
        <v>652</v>
      </c>
      <c r="B508" s="223">
        <f>Gjennomlysning!G21</f>
        <v>0</v>
      </c>
    </row>
    <row r="509" spans="1:2" x14ac:dyDescent="0.2">
      <c r="A509" s="223" t="s">
        <v>653</v>
      </c>
      <c r="B509" s="226">
        <f>Gjennomlysning!E22</f>
        <v>80</v>
      </c>
    </row>
    <row r="510" spans="1:2" x14ac:dyDescent="0.2">
      <c r="A510" s="223" t="s">
        <v>654</v>
      </c>
      <c r="B510" s="223">
        <f>Gjennomlysning!F22</f>
        <v>0</v>
      </c>
    </row>
    <row r="511" spans="1:2" x14ac:dyDescent="0.2">
      <c r="A511" s="223" t="s">
        <v>655</v>
      </c>
      <c r="B511" s="223">
        <f>Gjennomlysning!G22</f>
        <v>0</v>
      </c>
    </row>
    <row r="512" spans="1:2" x14ac:dyDescent="0.2">
      <c r="A512" s="223" t="s">
        <v>656</v>
      </c>
      <c r="B512" s="226">
        <f>Gjennomlysning!E23</f>
        <v>80</v>
      </c>
    </row>
    <row r="513" spans="1:2" x14ac:dyDescent="0.2">
      <c r="A513" s="223" t="s">
        <v>657</v>
      </c>
      <c r="B513" s="223">
        <f>Gjennomlysning!F23</f>
        <v>0</v>
      </c>
    </row>
    <row r="514" spans="1:2" x14ac:dyDescent="0.2">
      <c r="A514" s="223" t="s">
        <v>658</v>
      </c>
      <c r="B514" s="223">
        <f>Gjennomlysning!G23</f>
        <v>0</v>
      </c>
    </row>
    <row r="515" spans="1:2" x14ac:dyDescent="0.2">
      <c r="A515" s="223" t="s">
        <v>659</v>
      </c>
      <c r="B515" s="226">
        <f>Gjennomlysning!E24</f>
        <v>90</v>
      </c>
    </row>
    <row r="516" spans="1:2" x14ac:dyDescent="0.2">
      <c r="A516" s="223" t="s">
        <v>660</v>
      </c>
      <c r="B516" s="223">
        <f>Gjennomlysning!F24</f>
        <v>0</v>
      </c>
    </row>
    <row r="517" spans="1:2" x14ac:dyDescent="0.2">
      <c r="A517" s="223" t="s">
        <v>661</v>
      </c>
      <c r="B517" s="223">
        <f>Gjennomlysning!G24</f>
        <v>0</v>
      </c>
    </row>
    <row r="518" spans="1:2" x14ac:dyDescent="0.2">
      <c r="A518" s="223" t="s">
        <v>662</v>
      </c>
      <c r="B518" s="226">
        <f>Gjennomlysning!E25</f>
        <v>109</v>
      </c>
    </row>
    <row r="519" spans="1:2" x14ac:dyDescent="0.2">
      <c r="A519" s="223" t="s">
        <v>663</v>
      </c>
      <c r="B519" s="223">
        <f>Gjennomlysning!F25</f>
        <v>0</v>
      </c>
    </row>
    <row r="520" spans="1:2" x14ac:dyDescent="0.2">
      <c r="A520" s="223" t="s">
        <v>664</v>
      </c>
      <c r="B520" s="223">
        <f>Gjennomlysning!G25</f>
        <v>0</v>
      </c>
    </row>
    <row r="521" spans="1:2" x14ac:dyDescent="0.2">
      <c r="A521" s="223" t="s">
        <v>665</v>
      </c>
      <c r="B521" s="226">
        <f>Gjennomlysning!E26</f>
        <v>117</v>
      </c>
    </row>
    <row r="522" spans="1:2" x14ac:dyDescent="0.2">
      <c r="A522" s="223" t="s">
        <v>666</v>
      </c>
      <c r="B522" s="223">
        <f>Gjennomlysning!F26</f>
        <v>0</v>
      </c>
    </row>
    <row r="523" spans="1:2" x14ac:dyDescent="0.2">
      <c r="A523" s="223" t="s">
        <v>667</v>
      </c>
      <c r="B523" s="223">
        <f>Gjennomlysning!G26</f>
        <v>0</v>
      </c>
    </row>
    <row r="524" spans="1:2" x14ac:dyDescent="0.2">
      <c r="A524" s="223" t="s">
        <v>668</v>
      </c>
      <c r="B524" s="226">
        <f>Gjennomlysning!E27</f>
        <v>125</v>
      </c>
    </row>
    <row r="525" spans="1:2" x14ac:dyDescent="0.2">
      <c r="A525" s="223" t="s">
        <v>669</v>
      </c>
      <c r="B525" s="223">
        <f>Gjennomlysning!F27</f>
        <v>0</v>
      </c>
    </row>
    <row r="526" spans="1:2" x14ac:dyDescent="0.2">
      <c r="A526" s="223" t="s">
        <v>670</v>
      </c>
      <c r="B526" s="223">
        <f>Gjennomlysning!G27</f>
        <v>0</v>
      </c>
    </row>
    <row r="527" spans="1:2" x14ac:dyDescent="0.2">
      <c r="A527" s="223" t="s">
        <v>671</v>
      </c>
      <c r="B527" s="224">
        <f>Gjennomlysning!E28</f>
        <v>60</v>
      </c>
    </row>
    <row r="528" spans="1:2" x14ac:dyDescent="0.2">
      <c r="A528" s="223" t="s">
        <v>672</v>
      </c>
      <c r="B528">
        <f>Gjennomlysning!F28</f>
        <v>0</v>
      </c>
    </row>
    <row r="529" spans="1:2" x14ac:dyDescent="0.2">
      <c r="A529" s="223" t="s">
        <v>673</v>
      </c>
      <c r="B529">
        <f>Gjennomlysning!G28</f>
        <v>0</v>
      </c>
    </row>
    <row r="530" spans="1:2" x14ac:dyDescent="0.2">
      <c r="A530" s="223" t="s">
        <v>674</v>
      </c>
      <c r="B530" s="224">
        <f>Gjennomlysning!E29</f>
        <v>70</v>
      </c>
    </row>
    <row r="531" spans="1:2" x14ac:dyDescent="0.2">
      <c r="A531" s="223" t="s">
        <v>675</v>
      </c>
      <c r="B531">
        <f>Gjennomlysning!F29</f>
        <v>0</v>
      </c>
    </row>
    <row r="532" spans="1:2" x14ac:dyDescent="0.2">
      <c r="A532" s="223" t="s">
        <v>676</v>
      </c>
      <c r="B532">
        <f>Gjennomlysning!G29</f>
        <v>0</v>
      </c>
    </row>
    <row r="533" spans="1:2" x14ac:dyDescent="0.2">
      <c r="A533" s="223" t="s">
        <v>677</v>
      </c>
      <c r="B533" s="224">
        <f>Gjennomlysning!E30</f>
        <v>80</v>
      </c>
    </row>
    <row r="534" spans="1:2" x14ac:dyDescent="0.2">
      <c r="A534" s="223" t="s">
        <v>678</v>
      </c>
      <c r="B534">
        <f>Gjennomlysning!F30</f>
        <v>0</v>
      </c>
    </row>
    <row r="535" spans="1:2" x14ac:dyDescent="0.2">
      <c r="A535" s="223" t="s">
        <v>679</v>
      </c>
      <c r="B535">
        <f>Gjennomlysning!G30</f>
        <v>0</v>
      </c>
    </row>
    <row r="536" spans="1:2" x14ac:dyDescent="0.2">
      <c r="A536" s="223" t="s">
        <v>680</v>
      </c>
      <c r="B536" s="224">
        <f>Gjennomlysning!E31</f>
        <v>90</v>
      </c>
    </row>
    <row r="537" spans="1:2" x14ac:dyDescent="0.2">
      <c r="A537" s="223" t="s">
        <v>681</v>
      </c>
      <c r="B537">
        <f>Gjennomlysning!F31</f>
        <v>0</v>
      </c>
    </row>
    <row r="538" spans="1:2" x14ac:dyDescent="0.2">
      <c r="A538" s="223" t="s">
        <v>682</v>
      </c>
      <c r="B538">
        <f>Gjennomlysning!G31</f>
        <v>0</v>
      </c>
    </row>
    <row r="539" spans="1:2" x14ac:dyDescent="0.2">
      <c r="A539" s="223" t="s">
        <v>683</v>
      </c>
      <c r="B539" s="224">
        <f>Gjennomlysning!E32</f>
        <v>102</v>
      </c>
    </row>
    <row r="540" spans="1:2" x14ac:dyDescent="0.2">
      <c r="A540" s="223" t="s">
        <v>684</v>
      </c>
      <c r="B540">
        <f>Gjennomlysning!F32</f>
        <v>0</v>
      </c>
    </row>
    <row r="541" spans="1:2" x14ac:dyDescent="0.2">
      <c r="A541" s="223" t="s">
        <v>685</v>
      </c>
      <c r="B541">
        <f>Gjennomlysning!G32</f>
        <v>0</v>
      </c>
    </row>
    <row r="542" spans="1:2" x14ac:dyDescent="0.2">
      <c r="A542" s="223" t="s">
        <v>1040</v>
      </c>
      <c r="B542" s="225">
        <f>Gjennomlysning!L11</f>
        <v>0</v>
      </c>
    </row>
    <row r="543" spans="1:2" x14ac:dyDescent="0.2">
      <c r="A543" s="223" t="s">
        <v>686</v>
      </c>
      <c r="B543">
        <f>Gjennomlysning!L6</f>
        <v>0</v>
      </c>
    </row>
    <row r="544" spans="1:2" x14ac:dyDescent="0.2">
      <c r="A544" s="223" t="s">
        <v>687</v>
      </c>
      <c r="B544">
        <f>Gjennomlysning!L7</f>
        <v>0</v>
      </c>
    </row>
    <row r="545" spans="1:2" x14ac:dyDescent="0.2">
      <c r="A545" s="223" t="s">
        <v>688</v>
      </c>
      <c r="B545">
        <f>Gjennomlysning!L8</f>
        <v>0</v>
      </c>
    </row>
    <row r="546" spans="1:2" x14ac:dyDescent="0.2">
      <c r="A546" s="223" t="s">
        <v>689</v>
      </c>
      <c r="B546">
        <f>Gjennomlysning!L9</f>
        <v>0</v>
      </c>
    </row>
    <row r="547" spans="1:2" x14ac:dyDescent="0.2">
      <c r="A547" s="223" t="s">
        <v>690</v>
      </c>
      <c r="B547" s="224">
        <f>Gjennomlysning!K15</f>
        <v>0</v>
      </c>
    </row>
    <row r="548" spans="1:2" x14ac:dyDescent="0.2">
      <c r="A548" s="223" t="s">
        <v>691</v>
      </c>
      <c r="B548">
        <f>Gjennomlysning!L15</f>
        <v>0</v>
      </c>
    </row>
    <row r="549" spans="1:2" x14ac:dyDescent="0.2">
      <c r="A549" s="223" t="s">
        <v>692</v>
      </c>
      <c r="B549" s="224">
        <f>Gjennomlysning!M15</f>
        <v>0</v>
      </c>
    </row>
    <row r="550" spans="1:2" x14ac:dyDescent="0.2">
      <c r="A550" s="223" t="s">
        <v>693</v>
      </c>
      <c r="B550" s="224">
        <f>Gjennomlysning!N15</f>
        <v>0</v>
      </c>
    </row>
    <row r="551" spans="1:2" x14ac:dyDescent="0.2">
      <c r="A551" s="223" t="s">
        <v>878</v>
      </c>
      <c r="B551">
        <f>Gjennomlysning!O15</f>
        <v>0</v>
      </c>
    </row>
    <row r="552" spans="1:2" x14ac:dyDescent="0.2">
      <c r="A552" s="223" t="s">
        <v>832</v>
      </c>
      <c r="B552">
        <f>Gjennomlysning!P15</f>
        <v>0</v>
      </c>
    </row>
    <row r="553" spans="1:2" x14ac:dyDescent="0.2">
      <c r="A553" s="223" t="s">
        <v>855</v>
      </c>
      <c r="B553">
        <f>Gjennomlysning!Q15</f>
        <v>0</v>
      </c>
    </row>
    <row r="554" spans="1:2" x14ac:dyDescent="0.2">
      <c r="A554" s="223" t="s">
        <v>694</v>
      </c>
      <c r="B554" s="225">
        <f>Gjennomlysning!S15</f>
        <v>0</v>
      </c>
    </row>
    <row r="555" spans="1:2" x14ac:dyDescent="0.2">
      <c r="A555" s="223" t="s">
        <v>695</v>
      </c>
      <c r="B555" s="225" t="str">
        <f>Gjennomlysning!T15</f>
        <v/>
      </c>
    </row>
    <row r="556" spans="1:2" x14ac:dyDescent="0.2">
      <c r="A556" s="223" t="s">
        <v>696</v>
      </c>
      <c r="B556" s="224">
        <f>Gjennomlysning!K16</f>
        <v>0</v>
      </c>
    </row>
    <row r="557" spans="1:2" x14ac:dyDescent="0.2">
      <c r="A557" s="223" t="s">
        <v>697</v>
      </c>
      <c r="B557">
        <f>Gjennomlysning!L16</f>
        <v>0</v>
      </c>
    </row>
    <row r="558" spans="1:2" x14ac:dyDescent="0.2">
      <c r="A558" s="223" t="s">
        <v>698</v>
      </c>
      <c r="B558" s="224">
        <f>Gjennomlysning!M16</f>
        <v>0</v>
      </c>
    </row>
    <row r="559" spans="1:2" x14ac:dyDescent="0.2">
      <c r="A559" s="223" t="s">
        <v>699</v>
      </c>
      <c r="B559" s="224">
        <f>Gjennomlysning!N16</f>
        <v>0</v>
      </c>
    </row>
    <row r="560" spans="1:2" x14ac:dyDescent="0.2">
      <c r="A560" s="223" t="s">
        <v>879</v>
      </c>
      <c r="B560">
        <f>Gjennomlysning!O16</f>
        <v>0</v>
      </c>
    </row>
    <row r="561" spans="1:2" x14ac:dyDescent="0.2">
      <c r="A561" s="223" t="s">
        <v>833</v>
      </c>
      <c r="B561">
        <f>Gjennomlysning!P16</f>
        <v>0</v>
      </c>
    </row>
    <row r="562" spans="1:2" x14ac:dyDescent="0.2">
      <c r="A562" s="223" t="s">
        <v>856</v>
      </c>
      <c r="B562">
        <f>Gjennomlysning!Q16</f>
        <v>0</v>
      </c>
    </row>
    <row r="563" spans="1:2" x14ac:dyDescent="0.2">
      <c r="A563" s="223" t="s">
        <v>700</v>
      </c>
      <c r="B563" s="225">
        <f>Gjennomlysning!S16</f>
        <v>0</v>
      </c>
    </row>
    <row r="564" spans="1:2" x14ac:dyDescent="0.2">
      <c r="A564" s="223" t="s">
        <v>701</v>
      </c>
      <c r="B564" s="225" t="str">
        <f>Gjennomlysning!T16</f>
        <v/>
      </c>
    </row>
    <row r="565" spans="1:2" x14ac:dyDescent="0.2">
      <c r="A565" s="223" t="s">
        <v>702</v>
      </c>
      <c r="B565" s="224">
        <f>Gjennomlysning!K17</f>
        <v>0</v>
      </c>
    </row>
    <row r="566" spans="1:2" x14ac:dyDescent="0.2">
      <c r="A566" s="223" t="s">
        <v>703</v>
      </c>
      <c r="B566">
        <f>Gjennomlysning!L17</f>
        <v>0</v>
      </c>
    </row>
    <row r="567" spans="1:2" x14ac:dyDescent="0.2">
      <c r="A567" s="223" t="s">
        <v>704</v>
      </c>
      <c r="B567" s="224">
        <f>Gjennomlysning!M17</f>
        <v>0</v>
      </c>
    </row>
    <row r="568" spans="1:2" x14ac:dyDescent="0.2">
      <c r="A568" s="223" t="s">
        <v>705</v>
      </c>
      <c r="B568" s="224">
        <f>Gjennomlysning!N17</f>
        <v>0</v>
      </c>
    </row>
    <row r="569" spans="1:2" x14ac:dyDescent="0.2">
      <c r="A569" s="223" t="s">
        <v>880</v>
      </c>
      <c r="B569">
        <f>Gjennomlysning!O17</f>
        <v>0</v>
      </c>
    </row>
    <row r="570" spans="1:2" x14ac:dyDescent="0.2">
      <c r="A570" s="223" t="s">
        <v>834</v>
      </c>
      <c r="B570">
        <f>Gjennomlysning!P17</f>
        <v>0</v>
      </c>
    </row>
    <row r="571" spans="1:2" x14ac:dyDescent="0.2">
      <c r="A571" s="223" t="s">
        <v>857</v>
      </c>
      <c r="B571">
        <f>Gjennomlysning!Q17</f>
        <v>0</v>
      </c>
    </row>
    <row r="572" spans="1:2" x14ac:dyDescent="0.2">
      <c r="A572" s="223" t="s">
        <v>706</v>
      </c>
      <c r="B572" s="225">
        <f>Gjennomlysning!S17</f>
        <v>0</v>
      </c>
    </row>
    <row r="573" spans="1:2" x14ac:dyDescent="0.2">
      <c r="A573" s="223" t="s">
        <v>707</v>
      </c>
      <c r="B573" s="225" t="str">
        <f>Gjennomlysning!T17</f>
        <v/>
      </c>
    </row>
    <row r="574" spans="1:2" x14ac:dyDescent="0.2">
      <c r="A574" s="223" t="s">
        <v>708</v>
      </c>
      <c r="B574" s="224">
        <f>Gjennomlysning!K18</f>
        <v>0</v>
      </c>
    </row>
    <row r="575" spans="1:2" x14ac:dyDescent="0.2">
      <c r="A575" s="223" t="s">
        <v>709</v>
      </c>
      <c r="B575">
        <f>Gjennomlysning!L18</f>
        <v>0</v>
      </c>
    </row>
    <row r="576" spans="1:2" x14ac:dyDescent="0.2">
      <c r="A576" s="223" t="s">
        <v>710</v>
      </c>
      <c r="B576" s="224">
        <f>Gjennomlysning!M18</f>
        <v>0</v>
      </c>
    </row>
    <row r="577" spans="1:2" x14ac:dyDescent="0.2">
      <c r="A577" s="223" t="s">
        <v>711</v>
      </c>
      <c r="B577" s="224">
        <f>Gjennomlysning!N18</f>
        <v>0</v>
      </c>
    </row>
    <row r="578" spans="1:2" x14ac:dyDescent="0.2">
      <c r="A578" s="223" t="s">
        <v>881</v>
      </c>
      <c r="B578">
        <f>Gjennomlysning!O18</f>
        <v>0</v>
      </c>
    </row>
    <row r="579" spans="1:2" x14ac:dyDescent="0.2">
      <c r="A579" s="223" t="s">
        <v>835</v>
      </c>
      <c r="B579">
        <f>Gjennomlysning!P18</f>
        <v>0</v>
      </c>
    </row>
    <row r="580" spans="1:2" x14ac:dyDescent="0.2">
      <c r="A580" s="223" t="s">
        <v>858</v>
      </c>
      <c r="B580">
        <f>Gjennomlysning!Q18</f>
        <v>0</v>
      </c>
    </row>
    <row r="581" spans="1:2" x14ac:dyDescent="0.2">
      <c r="A581" s="223" t="s">
        <v>712</v>
      </c>
      <c r="B581" s="225">
        <f>Gjennomlysning!S18</f>
        <v>0</v>
      </c>
    </row>
    <row r="582" spans="1:2" x14ac:dyDescent="0.2">
      <c r="A582" s="223" t="s">
        <v>713</v>
      </c>
      <c r="B582" s="225" t="str">
        <f>Gjennomlysning!T18</f>
        <v/>
      </c>
    </row>
    <row r="583" spans="1:2" x14ac:dyDescent="0.2">
      <c r="A583" s="223" t="s">
        <v>714</v>
      </c>
      <c r="B583" s="224">
        <f>Gjennomlysning!K19</f>
        <v>0</v>
      </c>
    </row>
    <row r="584" spans="1:2" x14ac:dyDescent="0.2">
      <c r="A584" s="223" t="s">
        <v>715</v>
      </c>
      <c r="B584">
        <f>Gjennomlysning!L19</f>
        <v>0</v>
      </c>
    </row>
    <row r="585" spans="1:2" x14ac:dyDescent="0.2">
      <c r="A585" s="223" t="s">
        <v>716</v>
      </c>
      <c r="B585" s="224">
        <f>Gjennomlysning!M19</f>
        <v>0</v>
      </c>
    </row>
    <row r="586" spans="1:2" x14ac:dyDescent="0.2">
      <c r="A586" s="223" t="s">
        <v>717</v>
      </c>
      <c r="B586" s="224">
        <f>Gjennomlysning!N19</f>
        <v>0</v>
      </c>
    </row>
    <row r="587" spans="1:2" x14ac:dyDescent="0.2">
      <c r="A587" s="223" t="s">
        <v>882</v>
      </c>
      <c r="B587">
        <f>Gjennomlysning!O19</f>
        <v>0</v>
      </c>
    </row>
    <row r="588" spans="1:2" x14ac:dyDescent="0.2">
      <c r="A588" s="223" t="s">
        <v>836</v>
      </c>
      <c r="B588">
        <f>Gjennomlysning!P19</f>
        <v>0</v>
      </c>
    </row>
    <row r="589" spans="1:2" x14ac:dyDescent="0.2">
      <c r="A589" s="223" t="s">
        <v>859</v>
      </c>
      <c r="B589">
        <f>Gjennomlysning!Q19</f>
        <v>0</v>
      </c>
    </row>
    <row r="590" spans="1:2" x14ac:dyDescent="0.2">
      <c r="A590" s="223" t="s">
        <v>718</v>
      </c>
      <c r="B590" s="225">
        <f>Gjennomlysning!S19</f>
        <v>0</v>
      </c>
    </row>
    <row r="591" spans="1:2" x14ac:dyDescent="0.2">
      <c r="A591" s="223" t="s">
        <v>719</v>
      </c>
      <c r="B591" s="225" t="str">
        <f>Gjennomlysning!T19</f>
        <v/>
      </c>
    </row>
    <row r="592" spans="1:2" x14ac:dyDescent="0.2">
      <c r="A592" s="223" t="s">
        <v>720</v>
      </c>
      <c r="B592" s="224">
        <f>Gjennomlysning!K20</f>
        <v>0</v>
      </c>
    </row>
    <row r="593" spans="1:2" x14ac:dyDescent="0.2">
      <c r="A593" s="223" t="s">
        <v>721</v>
      </c>
      <c r="B593">
        <f>Gjennomlysning!L20</f>
        <v>0</v>
      </c>
    </row>
    <row r="594" spans="1:2" x14ac:dyDescent="0.2">
      <c r="A594" s="223" t="s">
        <v>722</v>
      </c>
      <c r="B594" s="224">
        <f>Gjennomlysning!M20</f>
        <v>0</v>
      </c>
    </row>
    <row r="595" spans="1:2" x14ac:dyDescent="0.2">
      <c r="A595" s="223" t="s">
        <v>723</v>
      </c>
      <c r="B595" s="224">
        <f>Gjennomlysning!N20</f>
        <v>0</v>
      </c>
    </row>
    <row r="596" spans="1:2" x14ac:dyDescent="0.2">
      <c r="A596" s="223" t="s">
        <v>883</v>
      </c>
      <c r="B596">
        <f>Gjennomlysning!O20</f>
        <v>0</v>
      </c>
    </row>
    <row r="597" spans="1:2" x14ac:dyDescent="0.2">
      <c r="A597" s="223" t="s">
        <v>837</v>
      </c>
      <c r="B597">
        <f>Gjennomlysning!P20</f>
        <v>0</v>
      </c>
    </row>
    <row r="598" spans="1:2" x14ac:dyDescent="0.2">
      <c r="A598" s="223" t="s">
        <v>860</v>
      </c>
      <c r="B598">
        <f>Gjennomlysning!Q20</f>
        <v>0</v>
      </c>
    </row>
    <row r="599" spans="1:2" x14ac:dyDescent="0.2">
      <c r="A599" s="223" t="s">
        <v>724</v>
      </c>
      <c r="B599" s="225">
        <f>Gjennomlysning!S20</f>
        <v>0</v>
      </c>
    </row>
    <row r="600" spans="1:2" x14ac:dyDescent="0.2">
      <c r="A600" s="223" t="s">
        <v>725</v>
      </c>
      <c r="B600" s="225" t="str">
        <f>Gjennomlysning!T20</f>
        <v/>
      </c>
    </row>
    <row r="601" spans="1:2" x14ac:dyDescent="0.2">
      <c r="A601" s="223" t="s">
        <v>726</v>
      </c>
      <c r="B601" s="224">
        <f>Gjennomlysning!K21</f>
        <v>0</v>
      </c>
    </row>
    <row r="602" spans="1:2" x14ac:dyDescent="0.2">
      <c r="A602" s="223" t="s">
        <v>727</v>
      </c>
      <c r="B602">
        <f>Gjennomlysning!L21</f>
        <v>0</v>
      </c>
    </row>
    <row r="603" spans="1:2" x14ac:dyDescent="0.2">
      <c r="A603" s="223" t="s">
        <v>728</v>
      </c>
      <c r="B603" s="224">
        <f>Gjennomlysning!M21</f>
        <v>0</v>
      </c>
    </row>
    <row r="604" spans="1:2" x14ac:dyDescent="0.2">
      <c r="A604" s="223" t="s">
        <v>729</v>
      </c>
      <c r="B604" s="224">
        <f>Gjennomlysning!N21</f>
        <v>0</v>
      </c>
    </row>
    <row r="605" spans="1:2" x14ac:dyDescent="0.2">
      <c r="A605" s="223" t="s">
        <v>884</v>
      </c>
      <c r="B605">
        <f>Gjennomlysning!O21</f>
        <v>0</v>
      </c>
    </row>
    <row r="606" spans="1:2" x14ac:dyDescent="0.2">
      <c r="A606" s="223" t="s">
        <v>838</v>
      </c>
      <c r="B606">
        <f>Gjennomlysning!P21</f>
        <v>0</v>
      </c>
    </row>
    <row r="607" spans="1:2" x14ac:dyDescent="0.2">
      <c r="A607" s="223" t="s">
        <v>861</v>
      </c>
      <c r="B607">
        <f>Gjennomlysning!Q21</f>
        <v>0</v>
      </c>
    </row>
    <row r="608" spans="1:2" x14ac:dyDescent="0.2">
      <c r="A608" s="223" t="s">
        <v>730</v>
      </c>
      <c r="B608" s="225">
        <f>Gjennomlysning!S21</f>
        <v>0</v>
      </c>
    </row>
    <row r="609" spans="1:2" x14ac:dyDescent="0.2">
      <c r="A609" s="223" t="s">
        <v>731</v>
      </c>
      <c r="B609" s="225" t="str">
        <f>Gjennomlysning!T21</f>
        <v/>
      </c>
    </row>
    <row r="610" spans="1:2" x14ac:dyDescent="0.2">
      <c r="A610" s="223" t="s">
        <v>732</v>
      </c>
      <c r="B610" s="224">
        <f>Gjennomlysning!K22</f>
        <v>0</v>
      </c>
    </row>
    <row r="611" spans="1:2" x14ac:dyDescent="0.2">
      <c r="A611" s="223" t="s">
        <v>733</v>
      </c>
      <c r="B611">
        <f>Gjennomlysning!L22</f>
        <v>0</v>
      </c>
    </row>
    <row r="612" spans="1:2" x14ac:dyDescent="0.2">
      <c r="A612" s="223" t="s">
        <v>734</v>
      </c>
      <c r="B612" s="224">
        <f>Gjennomlysning!M22</f>
        <v>0</v>
      </c>
    </row>
    <row r="613" spans="1:2" x14ac:dyDescent="0.2">
      <c r="A613" s="223" t="s">
        <v>735</v>
      </c>
      <c r="B613" s="224">
        <f>Gjennomlysning!N22</f>
        <v>0</v>
      </c>
    </row>
    <row r="614" spans="1:2" x14ac:dyDescent="0.2">
      <c r="A614" s="223" t="s">
        <v>885</v>
      </c>
      <c r="B614">
        <f>Gjennomlysning!O22</f>
        <v>0</v>
      </c>
    </row>
    <row r="615" spans="1:2" x14ac:dyDescent="0.2">
      <c r="A615" s="223" t="s">
        <v>839</v>
      </c>
      <c r="B615">
        <f>Gjennomlysning!P22</f>
        <v>0</v>
      </c>
    </row>
    <row r="616" spans="1:2" x14ac:dyDescent="0.2">
      <c r="A616" s="223" t="s">
        <v>862</v>
      </c>
      <c r="B616">
        <f>Gjennomlysning!Q22</f>
        <v>0</v>
      </c>
    </row>
    <row r="617" spans="1:2" x14ac:dyDescent="0.2">
      <c r="A617" s="223" t="s">
        <v>736</v>
      </c>
      <c r="B617" s="225">
        <f>Gjennomlysning!S22</f>
        <v>0</v>
      </c>
    </row>
    <row r="618" spans="1:2" x14ac:dyDescent="0.2">
      <c r="A618" s="223" t="s">
        <v>737</v>
      </c>
      <c r="B618" s="225" t="str">
        <f>Gjennomlysning!T22</f>
        <v/>
      </c>
    </row>
    <row r="619" spans="1:2" x14ac:dyDescent="0.2">
      <c r="A619" s="223" t="s">
        <v>738</v>
      </c>
      <c r="B619" s="224">
        <f>Gjennomlysning!K23</f>
        <v>0</v>
      </c>
    </row>
    <row r="620" spans="1:2" x14ac:dyDescent="0.2">
      <c r="A620" s="223" t="s">
        <v>739</v>
      </c>
      <c r="B620">
        <f>Gjennomlysning!L23</f>
        <v>0</v>
      </c>
    </row>
    <row r="621" spans="1:2" x14ac:dyDescent="0.2">
      <c r="A621" s="223" t="s">
        <v>740</v>
      </c>
      <c r="B621" s="224">
        <f>Gjennomlysning!M23</f>
        <v>0</v>
      </c>
    </row>
    <row r="622" spans="1:2" x14ac:dyDescent="0.2">
      <c r="A622" s="223" t="s">
        <v>741</v>
      </c>
      <c r="B622" s="224">
        <f>Gjennomlysning!N23</f>
        <v>0</v>
      </c>
    </row>
    <row r="623" spans="1:2" x14ac:dyDescent="0.2">
      <c r="A623" s="223" t="s">
        <v>886</v>
      </c>
      <c r="B623">
        <f>Gjennomlysning!O23</f>
        <v>0</v>
      </c>
    </row>
    <row r="624" spans="1:2" x14ac:dyDescent="0.2">
      <c r="A624" s="223" t="s">
        <v>840</v>
      </c>
      <c r="B624">
        <f>Gjennomlysning!P23</f>
        <v>0</v>
      </c>
    </row>
    <row r="625" spans="1:2" x14ac:dyDescent="0.2">
      <c r="A625" s="223" t="s">
        <v>863</v>
      </c>
      <c r="B625">
        <f>Gjennomlysning!Q23</f>
        <v>0</v>
      </c>
    </row>
    <row r="626" spans="1:2" x14ac:dyDescent="0.2">
      <c r="A626" s="223" t="s">
        <v>742</v>
      </c>
      <c r="B626" s="225">
        <f>Gjennomlysning!S23</f>
        <v>0</v>
      </c>
    </row>
    <row r="627" spans="1:2" x14ac:dyDescent="0.2">
      <c r="A627" s="223" t="s">
        <v>743</v>
      </c>
      <c r="B627" s="225" t="str">
        <f>Gjennomlysning!T23</f>
        <v/>
      </c>
    </row>
    <row r="628" spans="1:2" x14ac:dyDescent="0.2">
      <c r="A628" s="223" t="s">
        <v>744</v>
      </c>
      <c r="B628" s="224">
        <f>Gjennomlysning!K24</f>
        <v>0</v>
      </c>
    </row>
    <row r="629" spans="1:2" x14ac:dyDescent="0.2">
      <c r="A629" s="223" t="s">
        <v>745</v>
      </c>
      <c r="B629">
        <f>Gjennomlysning!L24</f>
        <v>0</v>
      </c>
    </row>
    <row r="630" spans="1:2" x14ac:dyDescent="0.2">
      <c r="A630" s="223" t="s">
        <v>746</v>
      </c>
      <c r="B630" s="224">
        <f>Gjennomlysning!M24</f>
        <v>0</v>
      </c>
    </row>
    <row r="631" spans="1:2" x14ac:dyDescent="0.2">
      <c r="A631" s="223" t="s">
        <v>747</v>
      </c>
      <c r="B631" s="224">
        <f>Gjennomlysning!N24</f>
        <v>0</v>
      </c>
    </row>
    <row r="632" spans="1:2" x14ac:dyDescent="0.2">
      <c r="A632" s="223" t="s">
        <v>887</v>
      </c>
      <c r="B632">
        <f>Gjennomlysning!O24</f>
        <v>0</v>
      </c>
    </row>
    <row r="633" spans="1:2" x14ac:dyDescent="0.2">
      <c r="A633" s="223" t="s">
        <v>841</v>
      </c>
      <c r="B633">
        <f>Gjennomlysning!P24</f>
        <v>0</v>
      </c>
    </row>
    <row r="634" spans="1:2" x14ac:dyDescent="0.2">
      <c r="A634" s="223" t="s">
        <v>864</v>
      </c>
      <c r="B634">
        <f>Gjennomlysning!Q24</f>
        <v>0</v>
      </c>
    </row>
    <row r="635" spans="1:2" x14ac:dyDescent="0.2">
      <c r="A635" s="223" t="s">
        <v>748</v>
      </c>
      <c r="B635" s="225">
        <f>Gjennomlysning!S24</f>
        <v>0</v>
      </c>
    </row>
    <row r="636" spans="1:2" x14ac:dyDescent="0.2">
      <c r="A636" s="223" t="s">
        <v>749</v>
      </c>
      <c r="B636" s="225" t="str">
        <f>Gjennomlysning!T24</f>
        <v/>
      </c>
    </row>
    <row r="637" spans="1:2" x14ac:dyDescent="0.2">
      <c r="A637" s="223" t="s">
        <v>750</v>
      </c>
      <c r="B637" s="224">
        <f>Gjennomlysning!K25</f>
        <v>0</v>
      </c>
    </row>
    <row r="638" spans="1:2" x14ac:dyDescent="0.2">
      <c r="A638" s="223" t="s">
        <v>751</v>
      </c>
      <c r="B638">
        <f>Gjennomlysning!L25</f>
        <v>0</v>
      </c>
    </row>
    <row r="639" spans="1:2" x14ac:dyDescent="0.2">
      <c r="A639" s="223" t="s">
        <v>752</v>
      </c>
      <c r="B639" s="224">
        <f>Gjennomlysning!M25</f>
        <v>0</v>
      </c>
    </row>
    <row r="640" spans="1:2" x14ac:dyDescent="0.2">
      <c r="A640" s="223" t="s">
        <v>753</v>
      </c>
      <c r="B640" s="224">
        <f>Gjennomlysning!N25</f>
        <v>0</v>
      </c>
    </row>
    <row r="641" spans="1:2" x14ac:dyDescent="0.2">
      <c r="A641" s="223" t="s">
        <v>888</v>
      </c>
      <c r="B641">
        <f>Gjennomlysning!O25</f>
        <v>0</v>
      </c>
    </row>
    <row r="642" spans="1:2" x14ac:dyDescent="0.2">
      <c r="A642" s="223" t="s">
        <v>842</v>
      </c>
      <c r="B642">
        <f>Gjennomlysning!P25</f>
        <v>0</v>
      </c>
    </row>
    <row r="643" spans="1:2" x14ac:dyDescent="0.2">
      <c r="A643" s="223" t="s">
        <v>865</v>
      </c>
      <c r="B643">
        <f>Gjennomlysning!Q25</f>
        <v>0</v>
      </c>
    </row>
    <row r="644" spans="1:2" x14ac:dyDescent="0.2">
      <c r="A644" s="223" t="s">
        <v>754</v>
      </c>
      <c r="B644" s="225">
        <f>Gjennomlysning!S25</f>
        <v>0</v>
      </c>
    </row>
    <row r="645" spans="1:2" x14ac:dyDescent="0.2">
      <c r="A645" s="223" t="s">
        <v>755</v>
      </c>
      <c r="B645" s="225" t="str">
        <f>Gjennomlysning!T25</f>
        <v/>
      </c>
    </row>
    <row r="646" spans="1:2" x14ac:dyDescent="0.2">
      <c r="A646" s="223" t="s">
        <v>756</v>
      </c>
      <c r="B646" s="224">
        <f>Gjennomlysning!K26</f>
        <v>0</v>
      </c>
    </row>
    <row r="647" spans="1:2" x14ac:dyDescent="0.2">
      <c r="A647" s="223" t="s">
        <v>757</v>
      </c>
      <c r="B647">
        <f>Gjennomlysning!L26</f>
        <v>0</v>
      </c>
    </row>
    <row r="648" spans="1:2" x14ac:dyDescent="0.2">
      <c r="A648" s="223" t="s">
        <v>758</v>
      </c>
      <c r="B648" s="224">
        <f>Gjennomlysning!M26</f>
        <v>0</v>
      </c>
    </row>
    <row r="649" spans="1:2" x14ac:dyDescent="0.2">
      <c r="A649" s="223" t="s">
        <v>759</v>
      </c>
      <c r="B649" s="224">
        <f>Gjennomlysning!N26</f>
        <v>0</v>
      </c>
    </row>
    <row r="650" spans="1:2" x14ac:dyDescent="0.2">
      <c r="A650" s="223" t="s">
        <v>889</v>
      </c>
      <c r="B650">
        <f>Gjennomlysning!O26</f>
        <v>0</v>
      </c>
    </row>
    <row r="651" spans="1:2" x14ac:dyDescent="0.2">
      <c r="A651" s="223" t="s">
        <v>843</v>
      </c>
      <c r="B651">
        <f>Gjennomlysning!P26</f>
        <v>0</v>
      </c>
    </row>
    <row r="652" spans="1:2" x14ac:dyDescent="0.2">
      <c r="A652" s="223" t="s">
        <v>866</v>
      </c>
      <c r="B652">
        <f>Gjennomlysning!Q26</f>
        <v>0</v>
      </c>
    </row>
    <row r="653" spans="1:2" x14ac:dyDescent="0.2">
      <c r="A653" s="223" t="s">
        <v>760</v>
      </c>
      <c r="B653" s="225">
        <f>Gjennomlysning!S26</f>
        <v>0</v>
      </c>
    </row>
    <row r="654" spans="1:2" x14ac:dyDescent="0.2">
      <c r="A654" s="223" t="s">
        <v>761</v>
      </c>
      <c r="B654" s="225" t="str">
        <f>Gjennomlysning!T26</f>
        <v/>
      </c>
    </row>
    <row r="655" spans="1:2" x14ac:dyDescent="0.2">
      <c r="A655" s="223" t="s">
        <v>762</v>
      </c>
      <c r="B655" s="224">
        <f>Gjennomlysning!K27</f>
        <v>0</v>
      </c>
    </row>
    <row r="656" spans="1:2" x14ac:dyDescent="0.2">
      <c r="A656" s="223" t="s">
        <v>763</v>
      </c>
      <c r="B656">
        <f>Gjennomlysning!L27</f>
        <v>0</v>
      </c>
    </row>
    <row r="657" spans="1:2" x14ac:dyDescent="0.2">
      <c r="A657" s="223" t="s">
        <v>764</v>
      </c>
      <c r="B657" s="224">
        <f>Gjennomlysning!M27</f>
        <v>0</v>
      </c>
    </row>
    <row r="658" spans="1:2" x14ac:dyDescent="0.2">
      <c r="A658" s="223" t="s">
        <v>765</v>
      </c>
      <c r="B658" s="224">
        <f>Gjennomlysning!N27</f>
        <v>0</v>
      </c>
    </row>
    <row r="659" spans="1:2" x14ac:dyDescent="0.2">
      <c r="A659" s="223" t="s">
        <v>890</v>
      </c>
      <c r="B659">
        <f>Gjennomlysning!O27</f>
        <v>0</v>
      </c>
    </row>
    <row r="660" spans="1:2" x14ac:dyDescent="0.2">
      <c r="A660" s="223" t="s">
        <v>844</v>
      </c>
      <c r="B660">
        <f>Gjennomlysning!P27</f>
        <v>0</v>
      </c>
    </row>
    <row r="661" spans="1:2" x14ac:dyDescent="0.2">
      <c r="A661" s="223" t="s">
        <v>867</v>
      </c>
      <c r="B661">
        <f>Gjennomlysning!Q27</f>
        <v>0</v>
      </c>
    </row>
    <row r="662" spans="1:2" x14ac:dyDescent="0.2">
      <c r="A662" s="223" t="s">
        <v>766</v>
      </c>
      <c r="B662" s="225">
        <f>Gjennomlysning!S27</f>
        <v>0</v>
      </c>
    </row>
    <row r="663" spans="1:2" x14ac:dyDescent="0.2">
      <c r="A663" s="223" t="s">
        <v>767</v>
      </c>
      <c r="B663" s="225" t="str">
        <f>Gjennomlysning!T27</f>
        <v/>
      </c>
    </row>
    <row r="664" spans="1:2" x14ac:dyDescent="0.2">
      <c r="A664" s="223" t="s">
        <v>1041</v>
      </c>
      <c r="B664" s="225">
        <f>Gjennomlysning!L38</f>
        <v>0</v>
      </c>
    </row>
    <row r="665" spans="1:2" x14ac:dyDescent="0.2">
      <c r="A665" s="223" t="s">
        <v>768</v>
      </c>
      <c r="B665">
        <f>Gjennomlysning!L33</f>
        <v>0</v>
      </c>
    </row>
    <row r="666" spans="1:2" x14ac:dyDescent="0.2">
      <c r="A666" s="223" t="s">
        <v>769</v>
      </c>
      <c r="B666">
        <f>Gjennomlysning!L35</f>
        <v>0</v>
      </c>
    </row>
    <row r="667" spans="1:2" x14ac:dyDescent="0.2">
      <c r="A667" s="223" t="s">
        <v>770</v>
      </c>
      <c r="B667">
        <f>Gjennomlysning!L34</f>
        <v>0</v>
      </c>
    </row>
    <row r="668" spans="1:2" x14ac:dyDescent="0.2">
      <c r="A668" s="223" t="s">
        <v>771</v>
      </c>
      <c r="B668">
        <f>Gjennomlysning!L36</f>
        <v>0</v>
      </c>
    </row>
    <row r="669" spans="1:2" x14ac:dyDescent="0.2">
      <c r="A669" s="223" t="s">
        <v>772</v>
      </c>
      <c r="B669" s="224">
        <f>Gjennomlysning!K42</f>
        <v>0</v>
      </c>
    </row>
    <row r="670" spans="1:2" x14ac:dyDescent="0.2">
      <c r="A670" s="223" t="s">
        <v>773</v>
      </c>
      <c r="B670">
        <f>Gjennomlysning!L42</f>
        <v>0</v>
      </c>
    </row>
    <row r="671" spans="1:2" x14ac:dyDescent="0.2">
      <c r="A671" s="223" t="s">
        <v>774</v>
      </c>
      <c r="B671" s="224">
        <f>Gjennomlysning!M42</f>
        <v>0</v>
      </c>
    </row>
    <row r="672" spans="1:2" x14ac:dyDescent="0.2">
      <c r="A672" s="223" t="s">
        <v>775</v>
      </c>
      <c r="B672" s="224">
        <f>Gjennomlysning!N42</f>
        <v>0</v>
      </c>
    </row>
    <row r="673" spans="1:2" x14ac:dyDescent="0.2">
      <c r="A673" s="223" t="s">
        <v>891</v>
      </c>
      <c r="B673">
        <f>Gjennomlysning!O42</f>
        <v>0</v>
      </c>
    </row>
    <row r="674" spans="1:2" x14ac:dyDescent="0.2">
      <c r="A674" s="223" t="s">
        <v>845</v>
      </c>
      <c r="B674">
        <f>Gjennomlysning!P42</f>
        <v>0</v>
      </c>
    </row>
    <row r="675" spans="1:2" x14ac:dyDescent="0.2">
      <c r="A675" s="223" t="s">
        <v>868</v>
      </c>
      <c r="B675">
        <f>Gjennomlysning!Q42</f>
        <v>0</v>
      </c>
    </row>
    <row r="676" spans="1:2" x14ac:dyDescent="0.2">
      <c r="A676" s="223" t="s">
        <v>776</v>
      </c>
      <c r="B676" s="225">
        <f>Gjennomlysning!S42</f>
        <v>0</v>
      </c>
    </row>
    <row r="677" spans="1:2" x14ac:dyDescent="0.2">
      <c r="A677" s="223" t="s">
        <v>777</v>
      </c>
      <c r="B677" s="225">
        <f>Gjennomlysning!T42</f>
        <v>0</v>
      </c>
    </row>
    <row r="678" spans="1:2" x14ac:dyDescent="0.2">
      <c r="A678" s="223" t="s">
        <v>778</v>
      </c>
      <c r="B678" s="224">
        <f>Gjennomlysning!K43</f>
        <v>0</v>
      </c>
    </row>
    <row r="679" spans="1:2" x14ac:dyDescent="0.2">
      <c r="A679" s="223" t="s">
        <v>779</v>
      </c>
      <c r="B679">
        <f>Gjennomlysning!L43</f>
        <v>0</v>
      </c>
    </row>
    <row r="680" spans="1:2" x14ac:dyDescent="0.2">
      <c r="A680" s="223" t="s">
        <v>780</v>
      </c>
      <c r="B680" s="224">
        <f>Gjennomlysning!M43</f>
        <v>0</v>
      </c>
    </row>
    <row r="681" spans="1:2" x14ac:dyDescent="0.2">
      <c r="A681" s="223" t="s">
        <v>781</v>
      </c>
      <c r="B681" s="224">
        <f>Gjennomlysning!N43</f>
        <v>0</v>
      </c>
    </row>
    <row r="682" spans="1:2" x14ac:dyDescent="0.2">
      <c r="A682" s="223" t="s">
        <v>892</v>
      </c>
      <c r="B682">
        <f>Gjennomlysning!O43</f>
        <v>0</v>
      </c>
    </row>
    <row r="683" spans="1:2" x14ac:dyDescent="0.2">
      <c r="A683" s="223" t="s">
        <v>846</v>
      </c>
      <c r="B683">
        <f>Gjennomlysning!P43</f>
        <v>0</v>
      </c>
    </row>
    <row r="684" spans="1:2" x14ac:dyDescent="0.2">
      <c r="A684" s="223" t="s">
        <v>869</v>
      </c>
      <c r="B684">
        <f>Gjennomlysning!Q43</f>
        <v>0</v>
      </c>
    </row>
    <row r="685" spans="1:2" x14ac:dyDescent="0.2">
      <c r="A685" s="223" t="s">
        <v>782</v>
      </c>
      <c r="B685" s="225">
        <f>Gjennomlysning!S43</f>
        <v>0</v>
      </c>
    </row>
    <row r="686" spans="1:2" x14ac:dyDescent="0.2">
      <c r="A686" s="223" t="s">
        <v>783</v>
      </c>
      <c r="B686" s="225">
        <f>Gjennomlysning!T43</f>
        <v>0</v>
      </c>
    </row>
    <row r="687" spans="1:2" x14ac:dyDescent="0.2">
      <c r="A687" s="223" t="s">
        <v>784</v>
      </c>
      <c r="B687" s="224">
        <f>Gjennomlysning!K44</f>
        <v>0</v>
      </c>
    </row>
    <row r="688" spans="1:2" x14ac:dyDescent="0.2">
      <c r="A688" s="223" t="s">
        <v>785</v>
      </c>
      <c r="B688">
        <f>Gjennomlysning!L44</f>
        <v>0</v>
      </c>
    </row>
    <row r="689" spans="1:2" x14ac:dyDescent="0.2">
      <c r="A689" s="223" t="s">
        <v>786</v>
      </c>
      <c r="B689" s="224">
        <f>Gjennomlysning!M44</f>
        <v>0</v>
      </c>
    </row>
    <row r="690" spans="1:2" x14ac:dyDescent="0.2">
      <c r="A690" s="223" t="s">
        <v>787</v>
      </c>
      <c r="B690" s="224">
        <f>Gjennomlysning!N44</f>
        <v>0</v>
      </c>
    </row>
    <row r="691" spans="1:2" x14ac:dyDescent="0.2">
      <c r="A691" s="223" t="s">
        <v>893</v>
      </c>
      <c r="B691">
        <f>Gjennomlysning!O44</f>
        <v>0</v>
      </c>
    </row>
    <row r="692" spans="1:2" x14ac:dyDescent="0.2">
      <c r="A692" s="223" t="s">
        <v>847</v>
      </c>
      <c r="B692">
        <f>Gjennomlysning!P44</f>
        <v>0</v>
      </c>
    </row>
    <row r="693" spans="1:2" x14ac:dyDescent="0.2">
      <c r="A693" s="223" t="s">
        <v>870</v>
      </c>
      <c r="B693">
        <f>Gjennomlysning!Q44</f>
        <v>0</v>
      </c>
    </row>
    <row r="694" spans="1:2" x14ac:dyDescent="0.2">
      <c r="A694" s="223" t="s">
        <v>788</v>
      </c>
      <c r="B694" s="225">
        <f>Gjennomlysning!S44</f>
        <v>0</v>
      </c>
    </row>
    <row r="695" spans="1:2" x14ac:dyDescent="0.2">
      <c r="A695" s="223" t="s">
        <v>789</v>
      </c>
      <c r="B695" s="225">
        <f>Gjennomlysning!T44</f>
        <v>0</v>
      </c>
    </row>
    <row r="696" spans="1:2" x14ac:dyDescent="0.2">
      <c r="A696" s="223" t="s">
        <v>790</v>
      </c>
      <c r="B696" s="224">
        <f>Gjennomlysning!K45</f>
        <v>0</v>
      </c>
    </row>
    <row r="697" spans="1:2" x14ac:dyDescent="0.2">
      <c r="A697" s="223" t="s">
        <v>791</v>
      </c>
      <c r="B697">
        <f>Gjennomlysning!L45</f>
        <v>0</v>
      </c>
    </row>
    <row r="698" spans="1:2" x14ac:dyDescent="0.2">
      <c r="A698" s="223" t="s">
        <v>792</v>
      </c>
      <c r="B698" s="224">
        <f>Gjennomlysning!M45</f>
        <v>0</v>
      </c>
    </row>
    <row r="699" spans="1:2" x14ac:dyDescent="0.2">
      <c r="A699" s="223" t="s">
        <v>793</v>
      </c>
      <c r="B699" s="224">
        <f>Gjennomlysning!N45</f>
        <v>0</v>
      </c>
    </row>
    <row r="700" spans="1:2" x14ac:dyDescent="0.2">
      <c r="A700" s="223" t="s">
        <v>894</v>
      </c>
      <c r="B700">
        <f>Gjennomlysning!O45</f>
        <v>0</v>
      </c>
    </row>
    <row r="701" spans="1:2" x14ac:dyDescent="0.2">
      <c r="A701" s="223" t="s">
        <v>848</v>
      </c>
      <c r="B701">
        <f>Gjennomlysning!P45</f>
        <v>0</v>
      </c>
    </row>
    <row r="702" spans="1:2" x14ac:dyDescent="0.2">
      <c r="A702" s="223" t="s">
        <v>871</v>
      </c>
      <c r="B702">
        <f>Gjennomlysning!Q45</f>
        <v>0</v>
      </c>
    </row>
    <row r="703" spans="1:2" x14ac:dyDescent="0.2">
      <c r="A703" s="223" t="s">
        <v>794</v>
      </c>
      <c r="B703" s="225">
        <f>Gjennomlysning!S45</f>
        <v>0</v>
      </c>
    </row>
    <row r="704" spans="1:2" x14ac:dyDescent="0.2">
      <c r="A704" s="223" t="s">
        <v>795</v>
      </c>
      <c r="B704" s="225">
        <f>Gjennomlysning!T45</f>
        <v>0</v>
      </c>
    </row>
    <row r="705" spans="1:2" x14ac:dyDescent="0.2">
      <c r="A705" s="223" t="s">
        <v>796</v>
      </c>
      <c r="B705" s="224">
        <f>Gjennomlysning!K46</f>
        <v>0</v>
      </c>
    </row>
    <row r="706" spans="1:2" x14ac:dyDescent="0.2">
      <c r="A706" s="223" t="s">
        <v>797</v>
      </c>
      <c r="B706">
        <f>Gjennomlysning!L46</f>
        <v>0</v>
      </c>
    </row>
    <row r="707" spans="1:2" x14ac:dyDescent="0.2">
      <c r="A707" s="223" t="s">
        <v>798</v>
      </c>
      <c r="B707" s="224">
        <f>Gjennomlysning!M46</f>
        <v>0</v>
      </c>
    </row>
    <row r="708" spans="1:2" x14ac:dyDescent="0.2">
      <c r="A708" s="223" t="s">
        <v>799</v>
      </c>
      <c r="B708" s="224">
        <f>Gjennomlysning!N46</f>
        <v>0</v>
      </c>
    </row>
    <row r="709" spans="1:2" x14ac:dyDescent="0.2">
      <c r="A709" s="223" t="s">
        <v>895</v>
      </c>
      <c r="B709">
        <f>Gjennomlysning!O46</f>
        <v>0</v>
      </c>
    </row>
    <row r="710" spans="1:2" x14ac:dyDescent="0.2">
      <c r="A710" s="223" t="s">
        <v>849</v>
      </c>
      <c r="B710">
        <f>Gjennomlysning!P46</f>
        <v>0</v>
      </c>
    </row>
    <row r="711" spans="1:2" x14ac:dyDescent="0.2">
      <c r="A711" s="223" t="s">
        <v>872</v>
      </c>
      <c r="B711">
        <f>Gjennomlysning!Q46</f>
        <v>0</v>
      </c>
    </row>
    <row r="712" spans="1:2" x14ac:dyDescent="0.2">
      <c r="A712" s="223" t="s">
        <v>800</v>
      </c>
      <c r="B712" s="225">
        <f>Gjennomlysning!S46</f>
        <v>0</v>
      </c>
    </row>
    <row r="713" spans="1:2" x14ac:dyDescent="0.2">
      <c r="A713" s="223" t="s">
        <v>801</v>
      </c>
      <c r="B713" s="225">
        <f>Gjennomlysning!T46</f>
        <v>0</v>
      </c>
    </row>
    <row r="714" spans="1:2" x14ac:dyDescent="0.2">
      <c r="A714" s="223" t="s">
        <v>802</v>
      </c>
      <c r="B714" s="224">
        <f>Gjennomlysning!K47</f>
        <v>0</v>
      </c>
    </row>
    <row r="715" spans="1:2" x14ac:dyDescent="0.2">
      <c r="A715" s="223" t="s">
        <v>803</v>
      </c>
      <c r="B715">
        <f>Gjennomlysning!L47</f>
        <v>0</v>
      </c>
    </row>
    <row r="716" spans="1:2" x14ac:dyDescent="0.2">
      <c r="A716" s="223" t="s">
        <v>804</v>
      </c>
      <c r="B716" s="224">
        <f>Gjennomlysning!M47</f>
        <v>0</v>
      </c>
    </row>
    <row r="717" spans="1:2" x14ac:dyDescent="0.2">
      <c r="A717" s="223" t="s">
        <v>805</v>
      </c>
      <c r="B717" s="224">
        <f>Gjennomlysning!N47</f>
        <v>0</v>
      </c>
    </row>
    <row r="718" spans="1:2" x14ac:dyDescent="0.2">
      <c r="A718" s="223" t="s">
        <v>896</v>
      </c>
      <c r="B718">
        <f>Gjennomlysning!O47</f>
        <v>0</v>
      </c>
    </row>
    <row r="719" spans="1:2" x14ac:dyDescent="0.2">
      <c r="A719" s="223" t="s">
        <v>850</v>
      </c>
      <c r="B719">
        <f>Gjennomlysning!P47</f>
        <v>0</v>
      </c>
    </row>
    <row r="720" spans="1:2" x14ac:dyDescent="0.2">
      <c r="A720" s="223" t="s">
        <v>873</v>
      </c>
      <c r="B720">
        <f>Gjennomlysning!Q47</f>
        <v>0</v>
      </c>
    </row>
    <row r="721" spans="1:2" x14ac:dyDescent="0.2">
      <c r="A721" s="223" t="s">
        <v>806</v>
      </c>
      <c r="B721" s="225">
        <f>Gjennomlysning!S47</f>
        <v>0</v>
      </c>
    </row>
    <row r="722" spans="1:2" x14ac:dyDescent="0.2">
      <c r="A722" s="223" t="s">
        <v>807</v>
      </c>
      <c r="B722" s="225">
        <f>Gjennomlysning!T47</f>
        <v>0</v>
      </c>
    </row>
    <row r="723" spans="1:2" x14ac:dyDescent="0.2">
      <c r="A723" s="223" t="s">
        <v>808</v>
      </c>
      <c r="B723" s="224">
        <f>Gjennomlysning!K48</f>
        <v>0</v>
      </c>
    </row>
    <row r="724" spans="1:2" x14ac:dyDescent="0.2">
      <c r="A724" s="223" t="s">
        <v>809</v>
      </c>
      <c r="B724">
        <f>Gjennomlysning!L48</f>
        <v>0</v>
      </c>
    </row>
    <row r="725" spans="1:2" x14ac:dyDescent="0.2">
      <c r="A725" s="223" t="s">
        <v>810</v>
      </c>
      <c r="B725" s="224">
        <f>Gjennomlysning!M48</f>
        <v>0</v>
      </c>
    </row>
    <row r="726" spans="1:2" x14ac:dyDescent="0.2">
      <c r="A726" s="223" t="s">
        <v>811</v>
      </c>
      <c r="B726" s="224">
        <f>Gjennomlysning!N48</f>
        <v>0</v>
      </c>
    </row>
    <row r="727" spans="1:2" x14ac:dyDescent="0.2">
      <c r="A727" s="223" t="s">
        <v>897</v>
      </c>
      <c r="B727">
        <f>Gjennomlysning!O48</f>
        <v>0</v>
      </c>
    </row>
    <row r="728" spans="1:2" x14ac:dyDescent="0.2">
      <c r="A728" s="223" t="s">
        <v>851</v>
      </c>
      <c r="B728">
        <f>Gjennomlysning!P48</f>
        <v>0</v>
      </c>
    </row>
    <row r="729" spans="1:2" x14ac:dyDescent="0.2">
      <c r="A729" s="223" t="s">
        <v>874</v>
      </c>
      <c r="B729">
        <f>Gjennomlysning!Q48</f>
        <v>0</v>
      </c>
    </row>
    <row r="730" spans="1:2" x14ac:dyDescent="0.2">
      <c r="A730" s="223" t="s">
        <v>812</v>
      </c>
      <c r="B730" s="225">
        <f>Gjennomlysning!S48</f>
        <v>0</v>
      </c>
    </row>
    <row r="731" spans="1:2" x14ac:dyDescent="0.2">
      <c r="A731" s="223" t="s">
        <v>813</v>
      </c>
      <c r="B731" s="225">
        <f>Gjennomlysning!T48</f>
        <v>0</v>
      </c>
    </row>
    <row r="732" spans="1:2" x14ac:dyDescent="0.2">
      <c r="A732" s="223" t="s">
        <v>814</v>
      </c>
      <c r="B732" s="224">
        <f>Gjennomlysning!K49</f>
        <v>0</v>
      </c>
    </row>
    <row r="733" spans="1:2" x14ac:dyDescent="0.2">
      <c r="A733" s="223" t="s">
        <v>815</v>
      </c>
      <c r="B733">
        <f>Gjennomlysning!L49</f>
        <v>0</v>
      </c>
    </row>
    <row r="734" spans="1:2" x14ac:dyDescent="0.2">
      <c r="A734" s="223" t="s">
        <v>816</v>
      </c>
      <c r="B734" s="224">
        <f>Gjennomlysning!M49</f>
        <v>0</v>
      </c>
    </row>
    <row r="735" spans="1:2" x14ac:dyDescent="0.2">
      <c r="A735" s="223" t="s">
        <v>817</v>
      </c>
      <c r="B735" s="224">
        <f>Gjennomlysning!N49</f>
        <v>0</v>
      </c>
    </row>
    <row r="736" spans="1:2" x14ac:dyDescent="0.2">
      <c r="A736" s="223" t="s">
        <v>898</v>
      </c>
      <c r="B736">
        <f>Gjennomlysning!O49</f>
        <v>0</v>
      </c>
    </row>
    <row r="737" spans="1:2" x14ac:dyDescent="0.2">
      <c r="A737" s="223" t="s">
        <v>852</v>
      </c>
      <c r="B737">
        <f>Gjennomlysning!P49</f>
        <v>0</v>
      </c>
    </row>
    <row r="738" spans="1:2" x14ac:dyDescent="0.2">
      <c r="A738" s="223" t="s">
        <v>875</v>
      </c>
      <c r="B738">
        <f>Gjennomlysning!Q49</f>
        <v>0</v>
      </c>
    </row>
    <row r="739" spans="1:2" x14ac:dyDescent="0.2">
      <c r="A739" s="223" t="s">
        <v>818</v>
      </c>
      <c r="B739" s="225">
        <f>Gjennomlysning!S49</f>
        <v>0</v>
      </c>
    </row>
    <row r="740" spans="1:2" x14ac:dyDescent="0.2">
      <c r="A740" s="223" t="s">
        <v>819</v>
      </c>
      <c r="B740" s="225">
        <f>Gjennomlysning!T49</f>
        <v>0</v>
      </c>
    </row>
    <row r="741" spans="1:2" x14ac:dyDescent="0.2">
      <c r="A741" s="223" t="s">
        <v>820</v>
      </c>
      <c r="B741" s="224">
        <f>Gjennomlysning!K50</f>
        <v>0</v>
      </c>
    </row>
    <row r="742" spans="1:2" x14ac:dyDescent="0.2">
      <c r="A742" s="223" t="s">
        <v>821</v>
      </c>
      <c r="B742">
        <f>Gjennomlysning!L50</f>
        <v>0</v>
      </c>
    </row>
    <row r="743" spans="1:2" x14ac:dyDescent="0.2">
      <c r="A743" s="223" t="s">
        <v>822</v>
      </c>
      <c r="B743" s="224">
        <f>Gjennomlysning!M50</f>
        <v>0</v>
      </c>
    </row>
    <row r="744" spans="1:2" x14ac:dyDescent="0.2">
      <c r="A744" s="223" t="s">
        <v>823</v>
      </c>
      <c r="B744" s="224">
        <f>Gjennomlysning!N50</f>
        <v>0</v>
      </c>
    </row>
    <row r="745" spans="1:2" x14ac:dyDescent="0.2">
      <c r="A745" s="223" t="s">
        <v>899</v>
      </c>
      <c r="B745">
        <f>Gjennomlysning!O50</f>
        <v>0</v>
      </c>
    </row>
    <row r="746" spans="1:2" x14ac:dyDescent="0.2">
      <c r="A746" s="223" t="s">
        <v>853</v>
      </c>
      <c r="B746">
        <f>Gjennomlysning!P50</f>
        <v>0</v>
      </c>
    </row>
    <row r="747" spans="1:2" x14ac:dyDescent="0.2">
      <c r="A747" s="223" t="s">
        <v>876</v>
      </c>
      <c r="B747">
        <f>Gjennomlysning!Q50</f>
        <v>0</v>
      </c>
    </row>
    <row r="748" spans="1:2" x14ac:dyDescent="0.2">
      <c r="A748" s="223" t="s">
        <v>824</v>
      </c>
      <c r="B748" s="225">
        <f>Gjennomlysning!S50</f>
        <v>0</v>
      </c>
    </row>
    <row r="749" spans="1:2" x14ac:dyDescent="0.2">
      <c r="A749" s="223" t="s">
        <v>825</v>
      </c>
      <c r="B749" s="225">
        <f>Gjennomlysning!T50</f>
        <v>0</v>
      </c>
    </row>
    <row r="750" spans="1:2" x14ac:dyDescent="0.2">
      <c r="A750" s="223" t="s">
        <v>826</v>
      </c>
      <c r="B750" s="224">
        <f>Gjennomlysning!K51</f>
        <v>0</v>
      </c>
    </row>
    <row r="751" spans="1:2" x14ac:dyDescent="0.2">
      <c r="A751" s="223" t="s">
        <v>827</v>
      </c>
      <c r="B751">
        <f>Gjennomlysning!L51</f>
        <v>0</v>
      </c>
    </row>
    <row r="752" spans="1:2" x14ac:dyDescent="0.2">
      <c r="A752" s="223" t="s">
        <v>828</v>
      </c>
      <c r="B752" s="224">
        <f>Gjennomlysning!M51</f>
        <v>0</v>
      </c>
    </row>
    <row r="753" spans="1:2" x14ac:dyDescent="0.2">
      <c r="A753" s="223" t="s">
        <v>829</v>
      </c>
      <c r="B753" s="224">
        <f>Gjennomlysning!N51</f>
        <v>0</v>
      </c>
    </row>
    <row r="754" spans="1:2" x14ac:dyDescent="0.2">
      <c r="A754" s="223" t="s">
        <v>900</v>
      </c>
      <c r="B754">
        <f>Gjennomlysning!O51</f>
        <v>0</v>
      </c>
    </row>
    <row r="755" spans="1:2" x14ac:dyDescent="0.2">
      <c r="A755" s="223" t="s">
        <v>854</v>
      </c>
      <c r="B755">
        <f>Gjennomlysning!P51</f>
        <v>0</v>
      </c>
    </row>
    <row r="756" spans="1:2" x14ac:dyDescent="0.2">
      <c r="A756" s="223" t="s">
        <v>877</v>
      </c>
      <c r="B756">
        <f>Gjennomlysning!Q51</f>
        <v>0</v>
      </c>
    </row>
    <row r="757" spans="1:2" x14ac:dyDescent="0.2">
      <c r="A757" s="223" t="s">
        <v>830</v>
      </c>
      <c r="B757" s="225">
        <f>Gjennomlysning!S51</f>
        <v>0</v>
      </c>
    </row>
    <row r="758" spans="1:2" x14ac:dyDescent="0.2">
      <c r="A758" s="223" t="s">
        <v>831</v>
      </c>
      <c r="B758" s="225">
        <f>Gjennomlysning!T51</f>
        <v>0</v>
      </c>
    </row>
    <row r="759" spans="1:2" x14ac:dyDescent="0.2">
      <c r="A759" s="223" t="s">
        <v>1042</v>
      </c>
      <c r="B759" s="225">
        <f>DAP!C16</f>
        <v>0</v>
      </c>
    </row>
    <row r="760" spans="1:2" x14ac:dyDescent="0.2">
      <c r="A760" s="223" t="s">
        <v>903</v>
      </c>
      <c r="B760">
        <f>DAP!G19</f>
        <v>40</v>
      </c>
    </row>
    <row r="761" spans="1:2" x14ac:dyDescent="0.2">
      <c r="A761" s="223" t="s">
        <v>904</v>
      </c>
      <c r="B761" s="225" t="str">
        <f>DAP!H19</f>
        <v/>
      </c>
    </row>
    <row r="762" spans="1:2" x14ac:dyDescent="0.2">
      <c r="A762" s="223" t="s">
        <v>905</v>
      </c>
      <c r="B762" t="str">
        <f>DAP!N9</f>
        <v/>
      </c>
    </row>
    <row r="763" spans="1:2" x14ac:dyDescent="0.2">
      <c r="A763" s="223" t="s">
        <v>906</v>
      </c>
      <c r="B763" t="str">
        <f>DAP!L9</f>
        <v/>
      </c>
    </row>
    <row r="764" spans="1:2" x14ac:dyDescent="0.2">
      <c r="A764" s="223" t="s">
        <v>907</v>
      </c>
      <c r="B764" s="224" t="str">
        <f>DAP!S9</f>
        <v/>
      </c>
    </row>
    <row r="765" spans="1:2" x14ac:dyDescent="0.2">
      <c r="A765" s="223" t="s">
        <v>908</v>
      </c>
      <c r="B765">
        <f>DAP!G20</f>
        <v>70</v>
      </c>
    </row>
    <row r="766" spans="1:2" x14ac:dyDescent="0.2">
      <c r="A766" s="223" t="s">
        <v>909</v>
      </c>
      <c r="B766" s="225" t="str">
        <f>DAP!H20</f>
        <v/>
      </c>
    </row>
    <row r="767" spans="1:2" x14ac:dyDescent="0.2">
      <c r="A767" s="223" t="s">
        <v>910</v>
      </c>
      <c r="B767" t="str">
        <f>DAP!N10</f>
        <v/>
      </c>
    </row>
    <row r="768" spans="1:2" x14ac:dyDescent="0.2">
      <c r="A768" s="223" t="s">
        <v>911</v>
      </c>
      <c r="B768" t="str">
        <f>DAP!L10</f>
        <v/>
      </c>
    </row>
    <row r="769" spans="1:2" x14ac:dyDescent="0.2">
      <c r="A769" s="223" t="s">
        <v>912</v>
      </c>
      <c r="B769" s="224" t="str">
        <f>DAP!S10</f>
        <v/>
      </c>
    </row>
    <row r="770" spans="1:2" x14ac:dyDescent="0.2">
      <c r="A770" s="223" t="s">
        <v>913</v>
      </c>
      <c r="B770">
        <f>DAP!G21</f>
        <v>100</v>
      </c>
    </row>
    <row r="771" spans="1:2" x14ac:dyDescent="0.2">
      <c r="A771" s="223" t="s">
        <v>914</v>
      </c>
      <c r="B771" s="225" t="str">
        <f>DAP!H21</f>
        <v/>
      </c>
    </row>
    <row r="772" spans="1:2" x14ac:dyDescent="0.2">
      <c r="A772" s="223" t="s">
        <v>915</v>
      </c>
      <c r="B772" t="str">
        <f>DAP!N11</f>
        <v/>
      </c>
    </row>
    <row r="773" spans="1:2" x14ac:dyDescent="0.2">
      <c r="A773" s="223" t="s">
        <v>916</v>
      </c>
      <c r="B773" t="str">
        <f>DAP!L11</f>
        <v/>
      </c>
    </row>
    <row r="774" spans="1:2" x14ac:dyDescent="0.2">
      <c r="A774" s="223" t="s">
        <v>917</v>
      </c>
      <c r="B774" s="224" t="str">
        <f>DAP!S11</f>
        <v/>
      </c>
    </row>
    <row r="775" spans="1:2" x14ac:dyDescent="0.2">
      <c r="A775" s="223" t="s">
        <v>918</v>
      </c>
      <c r="B775">
        <f>DAP!G22</f>
        <v>120</v>
      </c>
    </row>
    <row r="776" spans="1:2" x14ac:dyDescent="0.2">
      <c r="A776" s="223" t="s">
        <v>919</v>
      </c>
      <c r="B776" s="225" t="str">
        <f>DAP!H22</f>
        <v/>
      </c>
    </row>
    <row r="777" spans="1:2" x14ac:dyDescent="0.2">
      <c r="A777" s="223" t="s">
        <v>920</v>
      </c>
      <c r="B777" t="str">
        <f>DAP!N12</f>
        <v/>
      </c>
    </row>
    <row r="778" spans="1:2" x14ac:dyDescent="0.2">
      <c r="A778" s="223" t="s">
        <v>921</v>
      </c>
      <c r="B778" t="str">
        <f>DAP!L12</f>
        <v/>
      </c>
    </row>
    <row r="779" spans="1:2" x14ac:dyDescent="0.2">
      <c r="A779" s="223" t="s">
        <v>922</v>
      </c>
      <c r="B779" s="224" t="str">
        <f>DAP!S12</f>
        <v/>
      </c>
    </row>
    <row r="780" spans="1:2" x14ac:dyDescent="0.2">
      <c r="A780" s="223" t="s">
        <v>923</v>
      </c>
      <c r="B780">
        <f>DAP!G23</f>
        <v>150</v>
      </c>
    </row>
    <row r="781" spans="1:2" x14ac:dyDescent="0.2">
      <c r="A781" s="223" t="s">
        <v>924</v>
      </c>
      <c r="B781" s="225" t="str">
        <f>DAP!H23</f>
        <v/>
      </c>
    </row>
    <row r="782" spans="1:2" x14ac:dyDescent="0.2">
      <c r="A782" s="223" t="s">
        <v>925</v>
      </c>
      <c r="B782" t="str">
        <f>DAP!N13</f>
        <v/>
      </c>
    </row>
    <row r="783" spans="1:2" x14ac:dyDescent="0.2">
      <c r="A783" s="223" t="s">
        <v>926</v>
      </c>
      <c r="B783" t="str">
        <f>DAP!L13</f>
        <v/>
      </c>
    </row>
    <row r="784" spans="1:2" x14ac:dyDescent="0.2">
      <c r="A784" s="223" t="s">
        <v>927</v>
      </c>
      <c r="B784" s="224" t="str">
        <f>DAP!S13</f>
        <v/>
      </c>
    </row>
    <row r="785" spans="1:2" x14ac:dyDescent="0.2">
      <c r="A785" s="223" t="s">
        <v>1043</v>
      </c>
      <c r="B785" s="224">
        <f>AEK!F6</f>
        <v>0</v>
      </c>
    </row>
    <row r="786" spans="1:2" x14ac:dyDescent="0.2">
      <c r="A786" s="223" t="s">
        <v>930</v>
      </c>
      <c r="B786">
        <f>AEK!F3</f>
        <v>0</v>
      </c>
    </row>
    <row r="787" spans="1:2" x14ac:dyDescent="0.2">
      <c r="A787" s="223" t="s">
        <v>937</v>
      </c>
      <c r="B787">
        <f>AEK!F4</f>
        <v>0</v>
      </c>
    </row>
    <row r="788" spans="1:2" x14ac:dyDescent="0.2">
      <c r="A788" s="223" t="s">
        <v>950</v>
      </c>
      <c r="B788">
        <f>AEK!F5</f>
        <v>0</v>
      </c>
    </row>
    <row r="789" spans="1:2" x14ac:dyDescent="0.2">
      <c r="A789" s="223" t="s">
        <v>931</v>
      </c>
      <c r="B789">
        <f>AEK!J2</f>
        <v>0</v>
      </c>
    </row>
    <row r="790" spans="1:2" x14ac:dyDescent="0.2">
      <c r="A790" s="223" t="s">
        <v>932</v>
      </c>
      <c r="B790">
        <f>AEK!J3</f>
        <v>0</v>
      </c>
    </row>
    <row r="791" spans="1:2" x14ac:dyDescent="0.2">
      <c r="A791" s="223" t="s">
        <v>933</v>
      </c>
      <c r="B791">
        <f>AEK!J4</f>
        <v>0</v>
      </c>
    </row>
    <row r="792" spans="1:2" x14ac:dyDescent="0.2">
      <c r="A792" s="223" t="s">
        <v>934</v>
      </c>
      <c r="B792">
        <f>AEK!J5</f>
        <v>0</v>
      </c>
    </row>
    <row r="793" spans="1:2" x14ac:dyDescent="0.2">
      <c r="A793" s="223" t="s">
        <v>935</v>
      </c>
      <c r="B793">
        <f>AEK!J6</f>
        <v>0</v>
      </c>
    </row>
    <row r="794" spans="1:2" x14ac:dyDescent="0.2">
      <c r="A794" s="223" t="s">
        <v>936</v>
      </c>
      <c r="B794">
        <f>AEK!J7</f>
        <v>0</v>
      </c>
    </row>
    <row r="795" spans="1:2" x14ac:dyDescent="0.2">
      <c r="A795" s="223" t="s">
        <v>938</v>
      </c>
      <c r="B795" t="str">
        <f>AEK!K11</f>
        <v/>
      </c>
    </row>
    <row r="796" spans="1:2" x14ac:dyDescent="0.2">
      <c r="A796" s="223" t="s">
        <v>939</v>
      </c>
      <c r="B796" t="str">
        <f>AEK!K17</f>
        <v/>
      </c>
    </row>
    <row r="797" spans="1:2" x14ac:dyDescent="0.2">
      <c r="A797" s="223" t="s">
        <v>977</v>
      </c>
      <c r="B797">
        <f>AEK!C11</f>
        <v>0</v>
      </c>
    </row>
    <row r="798" spans="1:2" x14ac:dyDescent="0.2">
      <c r="A798" s="223" t="s">
        <v>978</v>
      </c>
      <c r="B798">
        <f>AEK!C12</f>
        <v>0</v>
      </c>
    </row>
    <row r="799" spans="1:2" x14ac:dyDescent="0.2">
      <c r="A799" s="223" t="s">
        <v>979</v>
      </c>
      <c r="B799">
        <f>AEK!C13</f>
        <v>0</v>
      </c>
    </row>
    <row r="800" spans="1:2" x14ac:dyDescent="0.2">
      <c r="A800" s="223" t="s">
        <v>980</v>
      </c>
      <c r="B800">
        <f>AEK!C14</f>
        <v>0</v>
      </c>
    </row>
    <row r="801" spans="1:2" x14ac:dyDescent="0.2">
      <c r="A801" s="223" t="s">
        <v>981</v>
      </c>
      <c r="B801">
        <f>AEK!C15</f>
        <v>0</v>
      </c>
    </row>
    <row r="802" spans="1:2" x14ac:dyDescent="0.2">
      <c r="A802" s="223" t="s">
        <v>982</v>
      </c>
      <c r="B802">
        <f>AEK!C16</f>
        <v>0</v>
      </c>
    </row>
    <row r="803" spans="1:2" x14ac:dyDescent="0.2">
      <c r="A803" s="223" t="s">
        <v>983</v>
      </c>
      <c r="B803">
        <f>AEK!C17</f>
        <v>0</v>
      </c>
    </row>
    <row r="804" spans="1:2" x14ac:dyDescent="0.2">
      <c r="A804" s="223" t="s">
        <v>984</v>
      </c>
      <c r="B804">
        <f>AEK!C18</f>
        <v>0</v>
      </c>
    </row>
    <row r="805" spans="1:2" x14ac:dyDescent="0.2">
      <c r="A805" s="223" t="s">
        <v>985</v>
      </c>
      <c r="B805">
        <f>AEK!C19</f>
        <v>0</v>
      </c>
    </row>
    <row r="806" spans="1:2" x14ac:dyDescent="0.2">
      <c r="A806" s="223" t="s">
        <v>986</v>
      </c>
      <c r="B806">
        <f>AEK!C20</f>
        <v>0</v>
      </c>
    </row>
    <row r="807" spans="1:2" x14ac:dyDescent="0.2">
      <c r="A807" s="223" t="s">
        <v>987</v>
      </c>
      <c r="B807">
        <f>AEK!C21</f>
        <v>0</v>
      </c>
    </row>
    <row r="808" spans="1:2" x14ac:dyDescent="0.2">
      <c r="A808" s="223" t="s">
        <v>988</v>
      </c>
      <c r="B808">
        <f>AEK!C22</f>
        <v>0</v>
      </c>
    </row>
    <row r="809" spans="1:2" x14ac:dyDescent="0.2">
      <c r="A809" s="223" t="s">
        <v>965</v>
      </c>
      <c r="B809" t="str">
        <f>AEK!D11</f>
        <v/>
      </c>
    </row>
    <row r="810" spans="1:2" x14ac:dyDescent="0.2">
      <c r="A810" s="223" t="s">
        <v>966</v>
      </c>
      <c r="B810" t="str">
        <f>AEK!D12</f>
        <v/>
      </c>
    </row>
    <row r="811" spans="1:2" x14ac:dyDescent="0.2">
      <c r="A811" s="223" t="s">
        <v>967</v>
      </c>
      <c r="B811" t="str">
        <f>AEK!D13</f>
        <v/>
      </c>
    </row>
    <row r="812" spans="1:2" x14ac:dyDescent="0.2">
      <c r="A812" s="223" t="s">
        <v>968</v>
      </c>
      <c r="B812" t="str">
        <f>AEK!D14</f>
        <v/>
      </c>
    </row>
    <row r="813" spans="1:2" x14ac:dyDescent="0.2">
      <c r="A813" s="223" t="s">
        <v>969</v>
      </c>
      <c r="B813" t="str">
        <f>AEK!D15</f>
        <v/>
      </c>
    </row>
    <row r="814" spans="1:2" x14ac:dyDescent="0.2">
      <c r="A814" s="223" t="s">
        <v>970</v>
      </c>
      <c r="B814" t="str">
        <f>AEK!D16</f>
        <v/>
      </c>
    </row>
    <row r="815" spans="1:2" x14ac:dyDescent="0.2">
      <c r="A815" s="223" t="s">
        <v>971</v>
      </c>
      <c r="B815" t="str">
        <f>AEK!D17</f>
        <v/>
      </c>
    </row>
    <row r="816" spans="1:2" x14ac:dyDescent="0.2">
      <c r="A816" s="223" t="s">
        <v>972</v>
      </c>
      <c r="B816" t="str">
        <f>AEK!D18</f>
        <v/>
      </c>
    </row>
    <row r="817" spans="1:2" x14ac:dyDescent="0.2">
      <c r="A817" s="223" t="s">
        <v>973</v>
      </c>
      <c r="B817" t="str">
        <f>AEK!D19</f>
        <v/>
      </c>
    </row>
    <row r="818" spans="1:2" x14ac:dyDescent="0.2">
      <c r="A818" s="223" t="s">
        <v>974</v>
      </c>
      <c r="B818" t="str">
        <f>AEK!D20</f>
        <v/>
      </c>
    </row>
    <row r="819" spans="1:2" x14ac:dyDescent="0.2">
      <c r="A819" s="223" t="s">
        <v>975</v>
      </c>
      <c r="B819" t="str">
        <f>AEK!D21</f>
        <v/>
      </c>
    </row>
    <row r="820" spans="1:2" x14ac:dyDescent="0.2">
      <c r="A820" s="223" t="s">
        <v>976</v>
      </c>
      <c r="B820" t="str">
        <f>AEK!D22</f>
        <v/>
      </c>
    </row>
    <row r="821" spans="1:2" x14ac:dyDescent="0.2">
      <c r="A821" s="223" t="s">
        <v>951</v>
      </c>
      <c r="B821">
        <f>AEK!N6</f>
        <v>0</v>
      </c>
    </row>
    <row r="822" spans="1:2" x14ac:dyDescent="0.2">
      <c r="A822" s="223" t="s">
        <v>952</v>
      </c>
      <c r="B822">
        <f>AEK!N7</f>
        <v>0</v>
      </c>
    </row>
    <row r="823" spans="1:2" x14ac:dyDescent="0.2">
      <c r="A823" s="223" t="s">
        <v>953</v>
      </c>
      <c r="B823">
        <f>AEK!N8</f>
        <v>0</v>
      </c>
    </row>
    <row r="824" spans="1:2" x14ac:dyDescent="0.2">
      <c r="A824" s="223" t="s">
        <v>954</v>
      </c>
      <c r="B824">
        <f>AEK!N9</f>
        <v>0</v>
      </c>
    </row>
    <row r="825" spans="1:2" x14ac:dyDescent="0.2">
      <c r="A825" s="223" t="s">
        <v>955</v>
      </c>
      <c r="B825">
        <f>AEK!N10</f>
        <v>0</v>
      </c>
    </row>
    <row r="826" spans="1:2" x14ac:dyDescent="0.2">
      <c r="A826" s="223" t="s">
        <v>956</v>
      </c>
      <c r="B826">
        <f>AEK!N11</f>
        <v>0</v>
      </c>
    </row>
    <row r="827" spans="1:2" x14ac:dyDescent="0.2">
      <c r="A827" s="223" t="s">
        <v>957</v>
      </c>
      <c r="B827">
        <f>AEK!N12</f>
        <v>0</v>
      </c>
    </row>
    <row r="828" spans="1:2" x14ac:dyDescent="0.2">
      <c r="A828" s="223" t="s">
        <v>958</v>
      </c>
      <c r="B828">
        <f>AEK!O6</f>
        <v>0</v>
      </c>
    </row>
    <row r="829" spans="1:2" x14ac:dyDescent="0.2">
      <c r="A829" s="223" t="s">
        <v>959</v>
      </c>
      <c r="B829">
        <f>AEK!O7</f>
        <v>0</v>
      </c>
    </row>
    <row r="830" spans="1:2" x14ac:dyDescent="0.2">
      <c r="A830" s="223" t="s">
        <v>960</v>
      </c>
      <c r="B830">
        <f>AEK!O8</f>
        <v>0</v>
      </c>
    </row>
    <row r="831" spans="1:2" x14ac:dyDescent="0.2">
      <c r="A831" s="223" t="s">
        <v>961</v>
      </c>
      <c r="B831">
        <f>AEK!O9</f>
        <v>0</v>
      </c>
    </row>
    <row r="832" spans="1:2" x14ac:dyDescent="0.2">
      <c r="A832" s="223" t="s">
        <v>962</v>
      </c>
      <c r="B832">
        <f>AEK!O10</f>
        <v>0</v>
      </c>
    </row>
    <row r="833" spans="1:2" x14ac:dyDescent="0.2">
      <c r="A833" s="223" t="s">
        <v>963</v>
      </c>
      <c r="B833">
        <f>AEK!O11</f>
        <v>0</v>
      </c>
    </row>
    <row r="834" spans="1:2" x14ac:dyDescent="0.2">
      <c r="A834" s="223" t="s">
        <v>964</v>
      </c>
      <c r="B834">
        <f>AEK!O12</f>
        <v>0</v>
      </c>
    </row>
    <row r="835" spans="1:2" x14ac:dyDescent="0.2">
      <c r="A835" s="223" t="s">
        <v>1044</v>
      </c>
      <c r="B835">
        <f>AEK!F30</f>
        <v>0</v>
      </c>
    </row>
    <row r="836" spans="1:2" x14ac:dyDescent="0.2">
      <c r="A836" s="223" t="s">
        <v>940</v>
      </c>
      <c r="B836">
        <f>AEK!F27</f>
        <v>0</v>
      </c>
    </row>
    <row r="837" spans="1:2" x14ac:dyDescent="0.2">
      <c r="A837" s="223" t="s">
        <v>941</v>
      </c>
      <c r="B837">
        <f>AEK!F28</f>
        <v>0</v>
      </c>
    </row>
    <row r="838" spans="1:2" x14ac:dyDescent="0.2">
      <c r="A838" s="239" t="s">
        <v>1069</v>
      </c>
      <c r="B838">
        <f>AEK!F29</f>
        <v>0</v>
      </c>
    </row>
    <row r="839" spans="1:2" x14ac:dyDescent="0.2">
      <c r="A839" s="223" t="s">
        <v>942</v>
      </c>
      <c r="B839">
        <f>AEK!J26</f>
        <v>0</v>
      </c>
    </row>
    <row r="840" spans="1:2" x14ac:dyDescent="0.2">
      <c r="A840" s="223" t="s">
        <v>943</v>
      </c>
      <c r="B840">
        <f>AEK!J27</f>
        <v>0</v>
      </c>
    </row>
    <row r="841" spans="1:2" x14ac:dyDescent="0.2">
      <c r="A841" s="223" t="s">
        <v>944</v>
      </c>
      <c r="B841">
        <f>AEK!J28</f>
        <v>0</v>
      </c>
    </row>
    <row r="842" spans="1:2" x14ac:dyDescent="0.2">
      <c r="A842" s="223" t="s">
        <v>945</v>
      </c>
      <c r="B842">
        <f>AEK!J29</f>
        <v>0</v>
      </c>
    </row>
    <row r="843" spans="1:2" x14ac:dyDescent="0.2">
      <c r="A843" s="223" t="s">
        <v>946</v>
      </c>
      <c r="B843">
        <f>AEK!J30</f>
        <v>0</v>
      </c>
    </row>
    <row r="844" spans="1:2" x14ac:dyDescent="0.2">
      <c r="A844" s="223" t="s">
        <v>947</v>
      </c>
      <c r="B844">
        <f>AEK!J31</f>
        <v>0</v>
      </c>
    </row>
    <row r="845" spans="1:2" x14ac:dyDescent="0.2">
      <c r="A845" s="239" t="s">
        <v>1065</v>
      </c>
      <c r="B845" s="225" t="str">
        <f>AEK!P6</f>
        <v/>
      </c>
    </row>
    <row r="846" spans="1:2" x14ac:dyDescent="0.2">
      <c r="A846" s="239" t="s">
        <v>1066</v>
      </c>
      <c r="B846" s="225" t="str">
        <f>AEK!Q6</f>
        <v/>
      </c>
    </row>
    <row r="847" spans="1:2" x14ac:dyDescent="0.2">
      <c r="A847" s="239" t="s">
        <v>1067</v>
      </c>
      <c r="B847" s="225" t="str">
        <f>AEK!P15</f>
        <v/>
      </c>
    </row>
    <row r="848" spans="1:2" x14ac:dyDescent="0.2">
      <c r="A848" s="239" t="s">
        <v>1068</v>
      </c>
      <c r="B848" t="str">
        <f>AEK!Q15</f>
        <v/>
      </c>
    </row>
    <row r="849" spans="1:2" x14ac:dyDescent="0.2">
      <c r="A849" s="223" t="s">
        <v>948</v>
      </c>
      <c r="B849" t="str">
        <f>AEK!K35</f>
        <v/>
      </c>
    </row>
    <row r="850" spans="1:2" x14ac:dyDescent="0.2">
      <c r="A850" s="223" t="s">
        <v>949</v>
      </c>
      <c r="B850" t="str">
        <f>AEK!K41</f>
        <v/>
      </c>
    </row>
    <row r="851" spans="1:2" x14ac:dyDescent="0.2">
      <c r="A851" s="223" t="s">
        <v>989</v>
      </c>
      <c r="B851">
        <f>AEK!C35</f>
        <v>0</v>
      </c>
    </row>
    <row r="852" spans="1:2" x14ac:dyDescent="0.2">
      <c r="A852" s="223" t="s">
        <v>990</v>
      </c>
      <c r="B852">
        <f>AEK!C36</f>
        <v>0</v>
      </c>
    </row>
    <row r="853" spans="1:2" x14ac:dyDescent="0.2">
      <c r="A853" s="223" t="s">
        <v>991</v>
      </c>
      <c r="B853">
        <f>AEK!C37</f>
        <v>0</v>
      </c>
    </row>
    <row r="854" spans="1:2" x14ac:dyDescent="0.2">
      <c r="A854" s="223" t="s">
        <v>992</v>
      </c>
      <c r="B854">
        <f>AEK!C38</f>
        <v>0</v>
      </c>
    </row>
    <row r="855" spans="1:2" x14ac:dyDescent="0.2">
      <c r="A855" s="223" t="s">
        <v>993</v>
      </c>
      <c r="B855">
        <f>AEK!C39</f>
        <v>0</v>
      </c>
    </row>
    <row r="856" spans="1:2" x14ac:dyDescent="0.2">
      <c r="A856" s="223" t="s">
        <v>994</v>
      </c>
      <c r="B856">
        <f>AEK!C40</f>
        <v>0</v>
      </c>
    </row>
    <row r="857" spans="1:2" x14ac:dyDescent="0.2">
      <c r="A857" s="223" t="s">
        <v>995</v>
      </c>
      <c r="B857">
        <f>AEK!C41</f>
        <v>0</v>
      </c>
    </row>
    <row r="858" spans="1:2" x14ac:dyDescent="0.2">
      <c r="A858" s="223" t="s">
        <v>996</v>
      </c>
      <c r="B858">
        <f>AEK!C42</f>
        <v>0</v>
      </c>
    </row>
    <row r="859" spans="1:2" x14ac:dyDescent="0.2">
      <c r="A859" s="223" t="s">
        <v>997</v>
      </c>
      <c r="B859">
        <f>AEK!C43</f>
        <v>0</v>
      </c>
    </row>
    <row r="860" spans="1:2" x14ac:dyDescent="0.2">
      <c r="A860" s="223" t="s">
        <v>998</v>
      </c>
      <c r="B860">
        <f>AEK!C44</f>
        <v>0</v>
      </c>
    </row>
    <row r="861" spans="1:2" x14ac:dyDescent="0.2">
      <c r="A861" s="223" t="s">
        <v>999</v>
      </c>
      <c r="B861">
        <f>AEK!C45</f>
        <v>0</v>
      </c>
    </row>
    <row r="862" spans="1:2" x14ac:dyDescent="0.2">
      <c r="A862" s="223" t="s">
        <v>1000</v>
      </c>
      <c r="B862">
        <f>AEK!C46</f>
        <v>0</v>
      </c>
    </row>
    <row r="863" spans="1:2" x14ac:dyDescent="0.2">
      <c r="A863" s="223" t="s">
        <v>1001</v>
      </c>
      <c r="B863" t="str">
        <f>AEK!D35</f>
        <v/>
      </c>
    </row>
    <row r="864" spans="1:2" x14ac:dyDescent="0.2">
      <c r="A864" s="223" t="s">
        <v>1002</v>
      </c>
      <c r="B864" t="str">
        <f>AEK!D36</f>
        <v/>
      </c>
    </row>
    <row r="865" spans="1:2" x14ac:dyDescent="0.2">
      <c r="A865" s="223" t="s">
        <v>1003</v>
      </c>
      <c r="B865" t="str">
        <f>AEK!D37</f>
        <v/>
      </c>
    </row>
    <row r="866" spans="1:2" x14ac:dyDescent="0.2">
      <c r="A866" s="223" t="s">
        <v>1004</v>
      </c>
      <c r="B866" t="str">
        <f>AEK!D38</f>
        <v/>
      </c>
    </row>
    <row r="867" spans="1:2" x14ac:dyDescent="0.2">
      <c r="A867" s="223" t="s">
        <v>1005</v>
      </c>
      <c r="B867" t="str">
        <f>AEK!D39</f>
        <v/>
      </c>
    </row>
    <row r="868" spans="1:2" x14ac:dyDescent="0.2">
      <c r="A868" s="223" t="s">
        <v>1006</v>
      </c>
      <c r="B868" t="str">
        <f>AEK!D40</f>
        <v/>
      </c>
    </row>
    <row r="869" spans="1:2" x14ac:dyDescent="0.2">
      <c r="A869" s="223" t="s">
        <v>1007</v>
      </c>
      <c r="B869" t="str">
        <f>AEK!D41</f>
        <v/>
      </c>
    </row>
    <row r="870" spans="1:2" x14ac:dyDescent="0.2">
      <c r="A870" s="223" t="s">
        <v>1008</v>
      </c>
      <c r="B870" t="str">
        <f>AEK!D42</f>
        <v/>
      </c>
    </row>
    <row r="871" spans="1:2" x14ac:dyDescent="0.2">
      <c r="A871" s="223" t="s">
        <v>1009</v>
      </c>
      <c r="B871" t="str">
        <f>AEK!D43</f>
        <v/>
      </c>
    </row>
    <row r="872" spans="1:2" x14ac:dyDescent="0.2">
      <c r="A872" s="223" t="s">
        <v>1010</v>
      </c>
      <c r="B872" t="str">
        <f>AEK!D44</f>
        <v/>
      </c>
    </row>
    <row r="873" spans="1:2" x14ac:dyDescent="0.2">
      <c r="A873" s="223" t="s">
        <v>1011</v>
      </c>
      <c r="B873" t="str">
        <f>AEK!D45</f>
        <v/>
      </c>
    </row>
    <row r="874" spans="1:2" x14ac:dyDescent="0.2">
      <c r="A874" s="223" t="s">
        <v>1012</v>
      </c>
      <c r="B874" t="str">
        <f>AEK!D46</f>
        <v/>
      </c>
    </row>
    <row r="875" spans="1:2" x14ac:dyDescent="0.2">
      <c r="A875" s="223" t="s">
        <v>1013</v>
      </c>
      <c r="B875">
        <f>AEK!N15</f>
        <v>0</v>
      </c>
    </row>
    <row r="876" spans="1:2" x14ac:dyDescent="0.2">
      <c r="A876" s="223" t="s">
        <v>1014</v>
      </c>
      <c r="B876">
        <f>AEK!N16</f>
        <v>0</v>
      </c>
    </row>
    <row r="877" spans="1:2" x14ac:dyDescent="0.2">
      <c r="A877" s="223" t="s">
        <v>1015</v>
      </c>
      <c r="B877">
        <f>AEK!N17</f>
        <v>0</v>
      </c>
    </row>
    <row r="878" spans="1:2" x14ac:dyDescent="0.2">
      <c r="A878" s="223" t="s">
        <v>1016</v>
      </c>
      <c r="B878">
        <f>AEK!N18</f>
        <v>0</v>
      </c>
    </row>
    <row r="879" spans="1:2" x14ac:dyDescent="0.2">
      <c r="A879" s="223" t="s">
        <v>1017</v>
      </c>
      <c r="B879">
        <f>AEK!N19</f>
        <v>0</v>
      </c>
    </row>
    <row r="880" spans="1:2" x14ac:dyDescent="0.2">
      <c r="A880" s="223" t="s">
        <v>1018</v>
      </c>
      <c r="B880">
        <f>AEK!N20</f>
        <v>0</v>
      </c>
    </row>
    <row r="881" spans="1:2" x14ac:dyDescent="0.2">
      <c r="A881" s="223" t="s">
        <v>1019</v>
      </c>
      <c r="B881">
        <f>AEK!N21</f>
        <v>0</v>
      </c>
    </row>
    <row r="882" spans="1:2" x14ac:dyDescent="0.2">
      <c r="A882" s="223" t="s">
        <v>1020</v>
      </c>
      <c r="B882">
        <f>AEK!O15</f>
        <v>0</v>
      </c>
    </row>
    <row r="883" spans="1:2" x14ac:dyDescent="0.2">
      <c r="A883" s="223" t="s">
        <v>1021</v>
      </c>
      <c r="B883">
        <f>AEK!O16</f>
        <v>0</v>
      </c>
    </row>
    <row r="884" spans="1:2" x14ac:dyDescent="0.2">
      <c r="A884" s="223" t="s">
        <v>1022</v>
      </c>
      <c r="B884">
        <f>AEK!O17</f>
        <v>0</v>
      </c>
    </row>
    <row r="885" spans="1:2" x14ac:dyDescent="0.2">
      <c r="A885" s="223" t="s">
        <v>1023</v>
      </c>
      <c r="B885">
        <f>AEK!O18</f>
        <v>0</v>
      </c>
    </row>
    <row r="886" spans="1:2" x14ac:dyDescent="0.2">
      <c r="A886" s="223" t="s">
        <v>1024</v>
      </c>
      <c r="B886">
        <f>AEK!O19</f>
        <v>0</v>
      </c>
    </row>
    <row r="887" spans="1:2" x14ac:dyDescent="0.2">
      <c r="A887" s="223" t="s">
        <v>1025</v>
      </c>
      <c r="B887">
        <f>AEK!O20</f>
        <v>0</v>
      </c>
    </row>
    <row r="888" spans="1:2" x14ac:dyDescent="0.2">
      <c r="A888" s="223" t="s">
        <v>1026</v>
      </c>
      <c r="B888">
        <f>AEK!O21</f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11</vt:i4>
      </vt:variant>
      <vt:variant>
        <vt:lpstr>Navngitte områder</vt:lpstr>
      </vt:variant>
      <vt:variant>
        <vt:i4>5</vt:i4>
      </vt:variant>
    </vt:vector>
  </HeadingPairs>
  <TitlesOfParts>
    <vt:vector size="16" baseType="lpstr">
      <vt:lpstr>Info</vt:lpstr>
      <vt:lpstr>Bildekvalitet</vt:lpstr>
      <vt:lpstr>Røntgenrør</vt:lpstr>
      <vt:lpstr>Gjennomlysning</vt:lpstr>
      <vt:lpstr>AEK</vt:lpstr>
      <vt:lpstr>DAP</vt:lpstr>
      <vt:lpstr>Spredt stråling</vt:lpstr>
      <vt:lpstr>Rådata-røntgenrør</vt:lpstr>
      <vt:lpstr>Rådata-gjennomlysning</vt:lpstr>
      <vt:lpstr>DAP kalibreringsbevis</vt:lpstr>
      <vt:lpstr>SQL</vt:lpstr>
      <vt:lpstr>hvlint</vt:lpstr>
      <vt:lpstr>kvint</vt:lpstr>
      <vt:lpstr>PTWLUT</vt:lpstr>
      <vt:lpstr>TOR18FG</vt:lpstr>
      <vt:lpstr>TORCDR</vt:lpstr>
    </vt:vector>
  </TitlesOfParts>
  <Company>Helse Bergen HF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Testulf</dc:creator>
  <cp:lastModifiedBy>Kirsten Hansine Helene Nygaard</cp:lastModifiedBy>
  <dcterms:created xsi:type="dcterms:W3CDTF">2013-08-16T07:03:03Z</dcterms:created>
  <dcterms:modified xsi:type="dcterms:W3CDTF">2014-03-13T10:31:01Z</dcterms:modified>
</cp:coreProperties>
</file>